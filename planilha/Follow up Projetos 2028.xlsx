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OBRAS" sheetId="2" state="visible" r:id="rId4"/>
    <sheet name="CRONOGRAMA" sheetId="3" state="visible" r:id="rId5"/>
    <sheet name="CARTEIRA" sheetId="4" state="visible" r:id="rId6"/>
    <sheet name="ETAPAS" sheetId="5" state="visible" r:id="rId7"/>
    <sheet name="CONTRATOS" sheetId="6" state="visible" r:id="rId8"/>
    <sheet name="ENTREGUES" sheetId="7" state="visible" r:id="rId9"/>
    <sheet name="CANCELADAS" sheetId="8" state="visible" r:id="rId10"/>
    <sheet name="ALTERAÇÕ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<sst xmlns="http://schemas.openxmlformats.org/spreadsheetml/2006/main" count="598" uniqueCount="227">
  <si>
    <t xml:space="preserve">Follow up Projetos 2028</t>
  </si>
  <si>
    <t xml:space="preserve">Planilha de demonstração do Painel de Obras: todos os dados são fictícios (obras de galpões, clientes, códigos, endereços, datas e registros). As cidades são reais só para os feriados funcionarem.</t>
  </si>
  <si>
    <t xml:space="preserve">ABA</t>
  </si>
  <si>
    <t xml:space="preserve">O QUE É</t>
  </si>
  <si>
    <t xml:space="preserve">OBRAS (tb_Obras)</t>
  </si>
  <si>
    <t xml:space="preserve">Obras em andamento. Só CÓDIGO, PROJETO BÁSICO, PROJETO EXECUTIVO, ALVARÁ (cabeçalhos amarelos), HISTÓRICO, ÚLTIMO REGISTRO e SITUAÇÃO são digitados; o resto vem de fórmulas (CRONOGRAMA e, se não achar, CARTEIRA).</t>
  </si>
  <si>
    <t xml:space="preserve">CRONOGRAMA (tb_Cronograma)</t>
  </si>
  <si>
    <t xml:space="preserve">Cronograma oficial das obras: datas de início, fim e entrega.</t>
  </si>
  <si>
    <t xml:space="preserve">CARTEIRA (tb_Carteira)</t>
  </si>
  <si>
    <t xml:space="preserve">Carteira de obras aprovadas, com área, criticidade e datas previstas para as que ainda não entraram no cronograma.</t>
  </si>
  <si>
    <t xml:space="preserve">ETAPAS / CONTRATOS</t>
  </si>
  <si>
    <t xml:space="preserve">Etapa atual (tb_Etapas) e data de assinatura do contrato (tb_Contratos) usadas pelas fórmulas da aba OBRAS.</t>
  </si>
  <si>
    <t xml:space="preserve">ENTREGUES (tb_Entregues)</t>
  </si>
  <si>
    <t xml:space="preserve">Obras entregues que saíram da aba OBRAS.</t>
  </si>
  <si>
    <t xml:space="preserve">CANCELADAS (tb_Canceladas)</t>
  </si>
  <si>
    <t xml:space="preserve">Obras canceladas que saíram da aba OBRAS.</t>
  </si>
  <si>
    <t xml:space="preserve">ALTERAÇÕES (tb_Alteracoes)</t>
  </si>
  <si>
    <t xml:space="preserve">Registro das alterações feitas pelo painel.</t>
  </si>
  <si>
    <t xml:space="preserve">CASOS PARA TESTAR</t>
  </si>
  <si>
    <t xml:space="preserve">CÓDIGO 2801</t>
  </si>
  <si>
    <t xml:space="preserve">SITUAÇÃO ENTREGUE, entrega em 07/04/2028: teste OBRA ENTREGUE no painel ou o botão ARQUIVAR ENTREGUES.</t>
  </si>
  <si>
    <t xml:space="preserve">CÓDIGO 2804</t>
  </si>
  <si>
    <t xml:space="preserve">Fim da obra em 13/05/2028 (sábado): alerta no calendário do painel.</t>
  </si>
  <si>
    <t xml:space="preserve">CÓDIGO 2806</t>
  </si>
  <si>
    <t xml:space="preserve">Fim da obra em 21/04/2028 (Tiradentes, feriado nacional).</t>
  </si>
  <si>
    <t xml:space="preserve">CÓDIGO 2812</t>
  </si>
  <si>
    <t xml:space="preserve">Fim da obra em 08/12/2028 (feriado municipal de Campinas).</t>
  </si>
  <si>
    <t xml:space="preserve">CÓDIGO 2813 a 2815</t>
  </si>
  <si>
    <t xml:space="preserve">Só no CRONOGRAMA: NOVA OBRA no painel aparece em verde.</t>
  </si>
  <si>
    <t xml:space="preserve">CÓDIGO 2816 e 2817</t>
  </si>
  <si>
    <t xml:space="preserve">Só na CARTEIRA: NOVA OBRA aparece em amarelo.</t>
  </si>
  <si>
    <t xml:space="preserve">CÓDIGO 9999</t>
  </si>
  <si>
    <t xml:space="preserve">Não existe em nenhuma base: NOVA OBRA fica bloqueada.</t>
  </si>
  <si>
    <t xml:space="preserve">COMO USAR COM AS MACROS</t>
  </si>
  <si>
    <t xml:space="preserve">1</t>
  </si>
  <si>
    <t xml:space="preserve">Salve como "Pasta de Trabalho Habilitada para Macro do Excel (.xlsm)".</t>
  </si>
  <si>
    <t xml:space="preserve">2</t>
  </si>
  <si>
    <t xml:space="preserve">No editor VBA (Alt+F11), importe o arquivo mInstaladorPainelObras.bas e execute InstalarFollowUp.</t>
  </si>
  <si>
    <t xml:space="preserve">3</t>
  </si>
  <si>
    <t xml:space="preserve">O instalador cria o Painel de Obras, os botões ABRIR PAINEL DE OBRAS e ARQUIVAR ENTREGUES na aba OBRAS e as abas FERIADOS e MARCADORES.</t>
  </si>
  <si>
    <t xml:space="preserve">4</t>
  </si>
  <si>
    <t xml:space="preserve">Todas as bases são tabelas do Excel (Inserir &gt; Tabela). Se acrescentar dados, mantenha os nomes das tabelas e das colunas.</t>
  </si>
  <si>
    <t xml:space="preserve">FOLLOW UP PROJETOS 2028 - obras de galpões em andamento (dados fictícios)</t>
  </si>
  <si>
    <t xml:space="preserve">CÓDIGO</t>
  </si>
  <si>
    <t xml:space="preserve">NOME</t>
  </si>
  <si>
    <t xml:space="preserve">CLIENTE</t>
  </si>
  <si>
    <t xml:space="preserve">UF</t>
  </si>
  <si>
    <t xml:space="preserve">CIDADE</t>
  </si>
  <si>
    <t xml:space="preserve">CRITICIDADE</t>
  </si>
  <si>
    <t xml:space="preserve">TIPO DE OBRA</t>
  </si>
  <si>
    <t xml:space="preserve">ÁREA (m²)</t>
  </si>
  <si>
    <t xml:space="preserve">APROVAÇÃO</t>
  </si>
  <si>
    <t xml:space="preserve">CONTRATO ASSINADO</t>
  </si>
  <si>
    <t xml:space="preserve">PROJETO BÁSICO</t>
  </si>
  <si>
    <t xml:space="preserve">PROJETO EXECUTIVO</t>
  </si>
  <si>
    <t xml:space="preserve">ALVARÁ</t>
  </si>
  <si>
    <t xml:space="preserve">INÍCIO DA OBRA</t>
  </si>
  <si>
    <t xml:space="preserve">FIM DA OBRA</t>
  </si>
  <si>
    <t xml:space="preserve">PRAZO (DIAS)</t>
  </si>
  <si>
    <t xml:space="preserve">ENTREGA</t>
  </si>
  <si>
    <t xml:space="preserve">HISTÓRICO</t>
  </si>
  <si>
    <t xml:space="preserve">ÚLTIMO REGISTRO</t>
  </si>
  <si>
    <t xml:space="preserve">ETAPA</t>
  </si>
  <si>
    <t xml:space="preserve">SITUAÇÃO</t>
  </si>
  <si>
    <t xml:space="preserve">2801</t>
  </si>
  <si>
    <t xml:space="preserve">08/11/2027 09:00 - Reunião de partida realizada com a construtora.
------------------------------------------------------------
17/11/2027 10:17 - Topografia concluída; liberada a terraplenagem.
------------------------------------------------------------
26/11/2027 11:34 - Sondagem do terreno entregue; fundação revisada.
------------------------------------------------------------
05/12/2027 12:51 - Projeto executivo aprovado pelo cliente.</t>
  </si>
  <si>
    <t xml:space="preserve">05/12/2027 12:51 - Projeto executivo aprovado pelo cliente.</t>
  </si>
  <si>
    <t xml:space="preserve">ENTREGUE</t>
  </si>
  <si>
    <t xml:space="preserve">2802</t>
  </si>
  <si>
    <t xml:space="preserve">09/11/2027 09:01 - Topografia concluída; liberada a terraplenagem.
------------------------------------------------------------
18/11/2027 10:18 - Sondagem do terreno entregue; fundação revisada.
------------------------------------------------------------
27/11/2027 11:35 - Projeto executivo aprovado pelo cliente.
------------------------------------------------------------
06/12/2027 12:52 - Protocolo do alvará na prefeitura; aguardando análise.
------------------------------------------------------------
15/12/2027 13:09 - Estrutura metálica em fabricação.</t>
  </si>
  <si>
    <t xml:space="preserve">15/12/2027 13:09 - Estrutura metálica em fabricação.</t>
  </si>
  <si>
    <t xml:space="preserve">2803</t>
  </si>
  <si>
    <t xml:space="preserve">10/11/2027 09:02 - Sondagem do terreno entregue; fundação revisada.
------------------------------------------------------------
19/11/2027 10:19 - Projeto executivo aprovado pelo cliente.
------------------------------------------------------------
28/11/2027 11:36 - Protocolo do alvará na prefeitura; aguardando análise.
------------------------------------------------------------
07/12/2027 12:53 - Estrutura metálica em fabricação.
------------------------------------------------------------
16/12/2027 13:10 - Montagem da cobertura iniciada.
------------------------------------------------------------
25/12/2027 14:27 - Concretagem do piso industrial programada.</t>
  </si>
  <si>
    <t xml:space="preserve">25/12/2027 14:27 - Concretagem do piso industrial programada.</t>
  </si>
  <si>
    <t xml:space="preserve">2804</t>
  </si>
  <si>
    <t xml:space="preserve">11/11/2027 09:03 - Projeto executivo aprovado pelo cliente.
------------------------------------------------------------
20/11/2027 10:20 - Protocolo do alvará na prefeitura; aguardando análise.
------------------------------------------------------------
29/11/2027 11:37 - Estrutura metálica em fabricação.
------------------------------------------------------------
08/12/2027 12:54 - Montagem da cobertura iniciada.
------------------------------------------------------------
17/12/2027 13:11 - Concretagem do piso industrial programada.
------------------------------------------------------------
26/12/2027 14:28 - Ligação de energia solicitada à concessionária.
------------------------------------------------------------
04/01/2028 15:45 - Vistoria do corpo de bombeiros agendada.</t>
  </si>
  <si>
    <t xml:space="preserve">04/01/2028 15:45 - Vistoria do corpo de bombeiros agendada.</t>
  </si>
  <si>
    <t xml:space="preserve">2805</t>
  </si>
  <si>
    <t xml:space="preserve">12/11/2027 09:04 - Protocolo do alvará na prefeitura; aguardando análise.
------------------------------------------------------------
21/11/2027 10:21 - Estrutura metálica em fabricação.
------------------------------------------------------------
30/11/2027 11:38 - Montagem da cobertura iniciada.
------------------------------------------------------------
09/12/2027 12:55 - Concretagem do piso industrial programada.
------------------------------------------------------------
18/12/2027 13:12 - Ligação de energia solicitada à concessionária.
------------------------------------------------------------
27/12/2027 14:29 - Vistoria do corpo de bombeiros agendada.
------------------------------------------------------------
05/01/2028 15:46 - Medição mensal aprovada.
------------------------------------------------------------
14/01/2028 16:03 - Chuvas atrasaram a terraplenagem em uma semana.</t>
  </si>
  <si>
    <t xml:space="preserve">14/01/2028 16:03 - Chuvas atrasaram a terraplenagem em uma semana.</t>
  </si>
  <si>
    <t xml:space="preserve">2806</t>
  </si>
  <si>
    <t xml:space="preserve">08/11/2027 09:05 - Estrutura metálica em fabricação.
------------------------------------------------------------
17/11/2027 10:22 - Montagem da cobertura iniciada.
------------------------------------------------------------
26/11/2027 11:39 - Concretagem do piso industrial programada.
------------------------------------------------------------
05/12/2027 12:56 - Ligação de energia solicitada à concessionária.</t>
  </si>
  <si>
    <t xml:space="preserve">05/12/2027 12:56 - Ligação de energia solicitada à concessionária.</t>
  </si>
  <si>
    <t xml:space="preserve">2807</t>
  </si>
  <si>
    <t xml:space="preserve">09/11/2027 09:06 - Montagem da cobertura iniciada.
------------------------------------------------------------
18/11/2027 10:23 - Concretagem do piso industrial programada.
------------------------------------------------------------
27/11/2027 11:40 - Ligação de energia solicitada à concessionária.
------------------------------------------------------------
06/12/2027 12:57 - Vistoria do corpo de bombeiros agendada.
------------------------------------------------------------
15/12/2027 13:14 - Medição mensal aprovada.</t>
  </si>
  <si>
    <t xml:space="preserve">15/12/2027 13:14 - Medição mensal aprovada.</t>
  </si>
  <si>
    <t xml:space="preserve">2808</t>
  </si>
  <si>
    <t xml:space="preserve">10/11/2027 09:07 - Concretagem do piso industrial programada.
------------------------------------------------------------
19/11/2027 10:24 - Ligação de energia solicitada à concessionária.
------------------------------------------------------------
28/11/2027 11:41 - Vistoria do corpo de bombeiros agendada.
------------------------------------------------------------
07/12/2027 12:58 - Medição mensal aprovada.
------------------------------------------------------------
16/12/2027 13:15 - Chuvas atrasaram a terraplenagem em uma semana.
------------------------------------------------------------
25/12/2027 14:32 - Reunião de partida realizada com a construtora.</t>
  </si>
  <si>
    <t xml:space="preserve">25/12/2027 14:32 - Reunião de partida realizada com a construtora.</t>
  </si>
  <si>
    <t xml:space="preserve">2809</t>
  </si>
  <si>
    <t xml:space="preserve">11/11/2027 09:08 - Ligação de energia solicitada à concessionária.
------------------------------------------------------------
20/11/2027 10:25 - Vistoria do corpo de bombeiros agendada.
------------------------------------------------------------
29/11/2027 11:42 - Medição mensal aprovada.
------------------------------------------------------------
08/12/2027 12:59 - Chuvas atrasaram a terraplenagem em uma semana.
------------------------------------------------------------
17/12/2027 13:16 - Reunião de partida realizada com a construtora.
------------------------------------------------------------
26/12/2027 14:33 - Topografia concluída; liberada a terraplenagem.
------------------------------------------------------------
04/01/2028 15:50 - Sondagem do terreno entregue; fundação revisada.</t>
  </si>
  <si>
    <t xml:space="preserve">04/01/2028 15:50 - Sondagem do terreno entregue; fundação revisada.</t>
  </si>
  <si>
    <t xml:space="preserve">2810</t>
  </si>
  <si>
    <t xml:space="preserve">12/11/2027 09:09 - Vistoria do corpo de bombeiros agendada.
------------------------------------------------------------
21/11/2027 10:26 - Medição mensal aprovada.
------------------------------------------------------------
30/11/2027 11:43 - Chuvas atrasaram a terraplenagem em uma semana.
------------------------------------------------------------
09/12/2027 12:00 - Reunião de partida realizada com a construtora.
------------------------------------------------------------
18/12/2027 13:17 - Topografia concluída; liberada a terraplenagem.
------------------------------------------------------------
27/12/2027 14:34 - Sondagem do terreno entregue; fundação revisada.
------------------------------------------------------------
05/01/2028 15:51 - Projeto executivo aprovado pelo cliente.
------------------------------------------------------------
14/01/2028 16:08 - Protocolo do alvará na prefeitura; aguardando análise.</t>
  </si>
  <si>
    <t xml:space="preserve">14/01/2028 16:08 - Protocolo do alvará na prefeitura; aguardando análise.</t>
  </si>
  <si>
    <t xml:space="preserve">2811</t>
  </si>
  <si>
    <t xml:space="preserve">08/11/2027 09:10 - Medição mensal aprovada.
------------------------------------------------------------
17/11/2027 10:27 - Chuvas atrasaram a terraplenagem em uma semana.
------------------------------------------------------------
26/11/2027 11:44 - Reunião de partida realizada com a construtora.
------------------------------------------------------------
05/12/2027 12:01 - Topografia concluída; liberada a terraplenagem.</t>
  </si>
  <si>
    <t xml:space="preserve">05/12/2027 12:01 - Topografia concluída; liberada a terraplenagem.</t>
  </si>
  <si>
    <t xml:space="preserve">2812</t>
  </si>
  <si>
    <t xml:space="preserve">09/11/2027 09:11 - Chuvas atrasaram a terraplenagem em uma semana.
------------------------------------------------------------
18/11/2027 10:28 - Reunião de partida realizada com a construtora.
------------------------------------------------------------
27/11/2027 11:45 - Topografia concluída; liberada a terraplenagem.
------------------------------------------------------------
06/12/2027 12:02 - Sondagem do terreno entregue; fundação revisada.
------------------------------------------------------------
15/12/2027 13:19 - Projeto executivo aprovado pelo cliente.</t>
  </si>
  <si>
    <t xml:space="preserve">15/12/2027 13:19 - Projeto executivo aprovado pelo cliente.</t>
  </si>
  <si>
    <t xml:space="preserve">ENDEREÇO</t>
  </si>
  <si>
    <t xml:space="preserve">ENTREGA PREVISTA</t>
  </si>
  <si>
    <t xml:space="preserve">GALPÃO NORTE 1</t>
  </si>
  <si>
    <t xml:space="preserve">CLIENTE ATLAS</t>
  </si>
  <si>
    <t xml:space="preserve">ROD. EXEMPLO, KM 12</t>
  </si>
  <si>
    <t xml:space="preserve">CAMPINAS</t>
  </si>
  <si>
    <t xml:space="preserve">SP</t>
  </si>
  <si>
    <t xml:space="preserve">CONSTRUÇÃO</t>
  </si>
  <si>
    <t xml:space="preserve">CD RODOVIA SUL</t>
  </si>
  <si>
    <t xml:space="preserve">CLIENTE BOREAL</t>
  </si>
  <si>
    <t xml:space="preserve">ROD. EXEMPLO, KM 15</t>
  </si>
  <si>
    <t xml:space="preserve">JUNDIAI</t>
  </si>
  <si>
    <t xml:space="preserve">EM ANDAMENTO</t>
  </si>
  <si>
    <t xml:space="preserve">CONDOMÍNIO LOGÍSTICO VALE</t>
  </si>
  <si>
    <t xml:space="preserve">CLIENTE CRUZEIRO</t>
  </si>
  <si>
    <t xml:space="preserve">ROD. EXEMPLO, KM 18</t>
  </si>
  <si>
    <t xml:space="preserve">GUARULHOS</t>
  </si>
  <si>
    <t xml:space="preserve">AMPLIAÇÃO</t>
  </si>
  <si>
    <t xml:space="preserve">GALPÃO SERRA AZUL</t>
  </si>
  <si>
    <t xml:space="preserve">CLIENTE DELTA</t>
  </si>
  <si>
    <t xml:space="preserve">ROD. EXEMPLO, KM 21</t>
  </si>
  <si>
    <t xml:space="preserve">BARUERI</t>
  </si>
  <si>
    <t xml:space="preserve">RETROFIT</t>
  </si>
  <si>
    <t xml:space="preserve">CENTRO DE DISTRIBUIÇÃO LESTE</t>
  </si>
  <si>
    <t xml:space="preserve">ROD. EXEMPLO, KM 24</t>
  </si>
  <si>
    <t xml:space="preserve">SAO JOSE DOS CAMPOS</t>
  </si>
  <si>
    <t xml:space="preserve">GALPÃO PORTO SECO</t>
  </si>
  <si>
    <t xml:space="preserve">ROD. EXEMPLO, KM 27</t>
  </si>
  <si>
    <t xml:space="preserve">SOROCABA</t>
  </si>
  <si>
    <t xml:space="preserve">ADEQUAÇÃO</t>
  </si>
  <si>
    <t xml:space="preserve">ARMAZÉM FRIGORIFICADO OESTE</t>
  </si>
  <si>
    <t xml:space="preserve">ROD. EXEMPLO, KM 30</t>
  </si>
  <si>
    <t xml:space="preserve">CURITIBA</t>
  </si>
  <si>
    <t xml:space="preserve">PR</t>
  </si>
  <si>
    <t xml:space="preserve">GALPÃO ANEL VIÁRIO</t>
  </si>
  <si>
    <t xml:space="preserve">ROD. EXEMPLO, KM 33</t>
  </si>
  <si>
    <t xml:space="preserve">BELO HORIZONTE</t>
  </si>
  <si>
    <t xml:space="preserve">MG</t>
  </si>
  <si>
    <t xml:space="preserve">CD MARGINAL</t>
  </si>
  <si>
    <t xml:space="preserve">ROD. EXEMPLO, KM 36</t>
  </si>
  <si>
    <t xml:space="preserve">RECIFE</t>
  </si>
  <si>
    <t xml:space="preserve">PE</t>
  </si>
  <si>
    <t xml:space="preserve">GALPÃO PARQUE INDUSTRIAL</t>
  </si>
  <si>
    <t xml:space="preserve">ROD. EXEMPLO, KM 39</t>
  </si>
  <si>
    <t xml:space="preserve">RIO DE JANEIRO</t>
  </si>
  <si>
    <t xml:space="preserve">RJ</t>
  </si>
  <si>
    <t xml:space="preserve">HUB CENTRO</t>
  </si>
  <si>
    <t xml:space="preserve">ROD. EXEMPLO, KM 42</t>
  </si>
  <si>
    <t xml:space="preserve">SAO PAULO</t>
  </si>
  <si>
    <t xml:space="preserve">GALPÃO TREVO</t>
  </si>
  <si>
    <t xml:space="preserve">ROD. EXEMPLO, KM 45</t>
  </si>
  <si>
    <t xml:space="preserve">2813</t>
  </si>
  <si>
    <t xml:space="preserve">CD AEROPORTO</t>
  </si>
  <si>
    <t xml:space="preserve">ROD. EXEMPLO, KM 48</t>
  </si>
  <si>
    <t xml:space="preserve">2814</t>
  </si>
  <si>
    <t xml:space="preserve">GALPÃO RIBEIRÃO</t>
  </si>
  <si>
    <t xml:space="preserve">ROD. EXEMPLO, KM 51</t>
  </si>
  <si>
    <t xml:space="preserve">2815</t>
  </si>
  <si>
    <t xml:space="preserve">ARMAZÉM GRANELEIRO</t>
  </si>
  <si>
    <t xml:space="preserve">ROD. EXEMPLO, KM 54</t>
  </si>
  <si>
    <t xml:space="preserve">INÍCIO PREVISTO</t>
  </si>
  <si>
    <t xml:space="preserve">FIM PREVISTO</t>
  </si>
  <si>
    <t xml:space="preserve">ALTA</t>
  </si>
  <si>
    <t xml:space="preserve">APROVADA</t>
  </si>
  <si>
    <t xml:space="preserve">MÉDIA</t>
  </si>
  <si>
    <t xml:space="preserve">BAIXA</t>
  </si>
  <si>
    <t xml:space="preserve">2816</t>
  </si>
  <si>
    <t xml:space="preserve">GALPÃO MODULAR A</t>
  </si>
  <si>
    <t xml:space="preserve">2817</t>
  </si>
  <si>
    <t xml:space="preserve">GALPÃO MODULAR B</t>
  </si>
  <si>
    <t xml:space="preserve">1. MOBILIZAÇÃO</t>
  </si>
  <si>
    <t xml:space="preserve">3. FUNDAÇÃO</t>
  </si>
  <si>
    <t xml:space="preserve">5. COBERTURA</t>
  </si>
  <si>
    <t xml:space="preserve">7. INSTALAÇÕES</t>
  </si>
  <si>
    <t xml:space="preserve">9. VISTORIA</t>
  </si>
  <si>
    <t xml:space="preserve">2. TERRAPLENAGEM</t>
  </si>
  <si>
    <t xml:space="preserve">4. ESTRUTURA METÁLICA</t>
  </si>
  <si>
    <t xml:space="preserve">6. PISO INDUSTRIAL</t>
  </si>
  <si>
    <t xml:space="preserve">8. ACABAMENTO</t>
  </si>
  <si>
    <t xml:space="preserve">Nº CONTRATO</t>
  </si>
  <si>
    <t xml:space="preserve">ASSINATURA</t>
  </si>
  <si>
    <t xml:space="preserve">CT-2027-100</t>
  </si>
  <si>
    <t xml:space="preserve">CT-2027-101</t>
  </si>
  <si>
    <t xml:space="preserve">CT-2027-102</t>
  </si>
  <si>
    <t xml:space="preserve">CT-2027-103</t>
  </si>
  <si>
    <t xml:space="preserve">CT-2027-104</t>
  </si>
  <si>
    <t xml:space="preserve">CT-2027-105</t>
  </si>
  <si>
    <t xml:space="preserve">CT-2027-106</t>
  </si>
  <si>
    <t xml:space="preserve">CT-2027-107</t>
  </si>
  <si>
    <t xml:space="preserve">CT-2027-108</t>
  </si>
  <si>
    <t xml:space="preserve">CT-2027-109</t>
  </si>
  <si>
    <t xml:space="preserve">CT-2027-110</t>
  </si>
  <si>
    <t xml:space="preserve">CT-2027-111</t>
  </si>
  <si>
    <t xml:space="preserve">2818</t>
  </si>
  <si>
    <t xml:space="preserve">CD CROSS DOCKING</t>
  </si>
  <si>
    <t xml:space="preserve">08/11/2027 09:20 - Ligação de energia solicitada à concessionária.
------------------------------------------------------------
17/11/2027 10:37 - Vistoria do corpo de bombeiros agendada.
------------------------------------------------------------
26/11/2027 11:54 - Medição mensal aprovada.
------------------------------------------------------------
05/12/2027 12:11 - Chuvas atrasaram a terraplenagem em uma semana.
------------------------------------------------------------
14/12/2027 13:28 - Reunião de partida realizada com a construtora.</t>
  </si>
  <si>
    <t xml:space="preserve">14/12/2027 13:28 - Reunião de partida realizada com a construtora.</t>
  </si>
  <si>
    <t xml:space="preserve">2819</t>
  </si>
  <si>
    <t xml:space="preserve">GALPÃO ESTRADA VELHA</t>
  </si>
  <si>
    <t xml:space="preserve">09/11/2027 09:21 - Vistoria do corpo de bombeiros agendada.
------------------------------------------------------------
18/11/2027 10:38 - Medição mensal aprovada.
------------------------------------------------------------
27/11/2027 11:55 - Chuvas atrasaram a terraplenagem em uma semana.
------------------------------------------------------------
06/12/2027 12:12 - Reunião de partida realizada com a construtora.
------------------------------------------------------------
15/12/2027 13:29 - Topografia concluída; liberada a terraplenagem.</t>
  </si>
  <si>
    <t xml:space="preserve">15/12/2027 13:29 - Topografia concluída; liberada a terraplenagem.</t>
  </si>
  <si>
    <t xml:space="preserve">2820</t>
  </si>
  <si>
    <t xml:space="preserve">GALPÃO BOA VISTA</t>
  </si>
  <si>
    <t xml:space="preserve">10/11/2027 09:22 - Medição mensal aprovada.
------------------------------------------------------------
19/11/2027 10:39 - Chuvas atrasaram a terraplenagem em uma semana.
------------------------------------------------------------
28/11/2027 11:56 - Reunião de partida realizada com a construtora.
------------------------------------------------------------
07/12/2027 12:13 - Topografia concluída; liberada a terraplenagem.
------------------------------------------------------------
16/12/2027 13:30 - Sondagem do terreno entregue; fundação revisada.</t>
  </si>
  <si>
    <t xml:space="preserve">16/12/2027 13:30 - Sondagem do terreno entregue; fundação revisada.</t>
  </si>
  <si>
    <t xml:space="preserve">2821</t>
  </si>
  <si>
    <t xml:space="preserve">CD PLANALTO</t>
  </si>
  <si>
    <t xml:space="preserve">11/11/2027 09:23 - Chuvas atrasaram a terraplenagem em uma semana.
------------------------------------------------------------
20/11/2027 10:40 - Reunião de partida realizada com a construtora.
------------------------------------------------------------
29/11/2027 11:57 - Topografia concluída; liberada a terraplenagem.
------------------------------------------------------------
08/12/2027 12:14 - Sondagem do terreno entregue; fundação revisada.
------------------------------------------------------------
17/12/2027 13:31 - Projeto executivo aprovado pelo cliente.</t>
  </si>
  <si>
    <t xml:space="preserve">17/12/2027 13:31 - Projeto executivo aprovado pelo cliente.</t>
  </si>
  <si>
    <t xml:space="preserve">2822</t>
  </si>
  <si>
    <t xml:space="preserve">GALPÃO LAGOA</t>
  </si>
  <si>
    <t xml:space="preserve">08/11/2027 09:25 - Topografia concluída; liberada a terraplenagem.
------------------------------------------------------------
17/11/2027 10:42 - Sondagem do terreno entregue; fundação revisada.
------------------------------------------------------------
26/11/2027 11:59 - Projeto executivo aprovado pelo cliente.
------------------------------------------------------------
05/12/2027 12:16 - Protocolo do alvará na prefeitura; aguardando análise.
------------------------------------------------------------
14/12/2027 13:33 - Estrutura metálica em fabricação.</t>
  </si>
  <si>
    <t xml:space="preserve">14/12/2027 13:33 - Estrutura metálica em fabricação.</t>
  </si>
  <si>
    <t xml:space="preserve">CANCELADA</t>
  </si>
  <si>
    <t xml:space="preserve">2823</t>
  </si>
  <si>
    <t xml:space="preserve">CD CAMPO VERDE</t>
  </si>
  <si>
    <t xml:space="preserve">09/11/2027 09:26 - Sondagem do terreno entregue; fundação revisada.
------------------------------------------------------------
18/11/2027 10:43 - Projeto executivo aprovado pelo cliente.
------------------------------------------------------------
27/11/2027 11:00 - Protocolo do alvará na prefeitura; aguardando análise.
------------------------------------------------------------
06/12/2027 12:17 - Estrutura metálica em fabricação.
------------------------------------------------------------
15/12/2027 13:34 - Montagem da cobertura iniciada.</t>
  </si>
  <si>
    <t xml:space="preserve">15/12/2027 13:34 - Montagem da cobertura iniciada.</t>
  </si>
  <si>
    <t xml:space="preserve">CAMPO</t>
  </si>
  <si>
    <t xml:space="preserve">ANTES</t>
  </si>
  <si>
    <t xml:space="preserve">DEPOIS</t>
  </si>
  <si>
    <t xml:space="preserve">USUÁRIO</t>
  </si>
  <si>
    <t xml:space="preserve">DATA/HORA</t>
  </si>
  <si>
    <t xml:space="preserve">14/02/2028</t>
  </si>
  <si>
    <t xml:space="preserve">21/02/2028</t>
  </si>
  <si>
    <t xml:space="preserve">usuario.demo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</si>
</sst>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"/>
    <numFmt numFmtId="167" formatCode="dd/mm/yyyy"/>
    <numFmt numFmtId="168" formatCode="0"/>
    <numFmt numFmtId="169" formatCode="dd/mm/yyyy\ hh:mm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293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FBBF24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29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BF2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BBF24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_Alteracoes" displayName="tb_Alteracoes" ref="A1:J5" headerRowCount="1" totalsRowCount="0" totalsRowShown="0">
  <autoFilter ref="A1:J5"/>
  <tableColumns count="10">
    <tableColumn id="1" name="CÓDIGO"/>
    <tableColumn id="2" name="NOME"/>
    <tableColumn id="3" name="CLIENTE"/>
    <tableColumn id="4" name="UF"/>
    <tableColumn id="5" name="CIDADE"/>
    <tableColumn id="6" name="CAMPO"/>
    <tableColumn id="7" name="ANTES"/>
    <tableColumn id="8" name="DEPOIS"/>
    <tableColumn id="9" name="USUÁRIO"/>
    <tableColumn id="10" name="DATA/HORA"/>
  </tableColumns>
</table>
</file>

<file path=xl/tables/table2.xml><?xml version="1.0" encoding="utf-8"?>
<table xmlns="http://schemas.openxmlformats.org/spreadsheetml/2006/main" id="2" name="tb_Canceladas" displayName="tb_Canceladas" ref="A1:U3" headerRowCount="1" totalsRowCount="0" totalsRowShown="0">
  <autoFilter ref="A1:U3"/>
  <tableColumns count="21">
    <tableColumn id="1" name="CÓDIGO"/>
    <tableColumn id="2" name="NOME"/>
    <tableColumn id="3" name="CLIENTE"/>
    <tableColumn id="4" name="UF"/>
    <tableColumn id="5" name="CIDADE"/>
    <tableColumn id="6" name="CRITICIDADE"/>
    <tableColumn id="7" name="TIPO DE OBRA"/>
    <tableColumn id="8" name="ÁREA (m²)"/>
    <tableColumn id="9" name="APROVAÇÃO"/>
    <tableColumn id="10" name="CONTRATO ASSINADO"/>
    <tableColumn id="11" name="PROJETO BÁSICO"/>
    <tableColumn id="12" name="PROJETO EXECUTIVO"/>
    <tableColumn id="13" name="ALVARÁ"/>
    <tableColumn id="14" name="INÍCIO DA OBRA"/>
    <tableColumn id="15" name="FIM DA OBRA"/>
    <tableColumn id="16" name="PRAZO (DIAS)"/>
    <tableColumn id="17" name="ENTREGA"/>
    <tableColumn id="18" name="HISTÓRICO"/>
    <tableColumn id="19" name="ÚLTIMO REGISTRO"/>
    <tableColumn id="20" name="ETAPA"/>
    <tableColumn id="21" name="SITUAÇÃO"/>
  </tableColumns>
</table>
</file>

<file path=xl/tables/table3.xml><?xml version="1.0" encoding="utf-8"?>
<table xmlns="http://schemas.openxmlformats.org/spreadsheetml/2006/main" id="3" name="tb_Carteira" displayName="tb_Carteira" ref="A1:M18" headerRowCount="1" totalsRowCount="0" totalsRowShown="0">
  <autoFilter ref="A1:M18"/>
  <tableColumns count="13">
    <tableColumn id="1" name="CÓDIGO"/>
    <tableColumn id="2" name="NOME"/>
    <tableColumn id="3" name="CLIENTE"/>
    <tableColumn id="4" name="CIDADE"/>
    <tableColumn id="5" name="UF"/>
    <tableColumn id="6" name="TIPO DE OBRA"/>
    <tableColumn id="7" name="ÁREA (m²)"/>
    <tableColumn id="8" name="CRITICIDADE"/>
    <tableColumn id="9" name="APROVAÇÃO"/>
    <tableColumn id="10" name="SITUAÇÃO"/>
    <tableColumn id="11" name="INÍCIO PREVISTO"/>
    <tableColumn id="12" name="FIM PREVISTO"/>
    <tableColumn id="13" name="ENTREGA PREVISTA"/>
  </tableColumns>
</table>
</file>

<file path=xl/tables/table4.xml><?xml version="1.0" encoding="utf-8"?>
<table xmlns="http://schemas.openxmlformats.org/spreadsheetml/2006/main" id="4" name="tb_Contratos" displayName="tb_Contratos" ref="A1:C13" headerRowCount="1" totalsRowCount="0" totalsRowShown="0">
  <autoFilter ref="A1:C13"/>
  <tableColumns count="3">
    <tableColumn id="1" name="CÓDIGO"/>
    <tableColumn id="2" name="Nº CONTRATO"/>
    <tableColumn id="3" name="ASSINATURA"/>
  </tableColumns>
</table>
</file>

<file path=xl/tables/table5.xml><?xml version="1.0" encoding="utf-8"?>
<table xmlns="http://schemas.openxmlformats.org/spreadsheetml/2006/main" id="5" name="tb_Cronograma" displayName="tb_Cronograma" ref="A1:K16" headerRowCount="1" totalsRowCount="0" totalsRowShown="0">
  <autoFilter ref="A1:K16"/>
  <tableColumns count="11">
    <tableColumn id="1" name="CÓDIGO"/>
    <tableColumn id="2" name="NOME"/>
    <tableColumn id="3" name="CLIENTE"/>
    <tableColumn id="4" name="ENDEREÇO"/>
    <tableColumn id="5" name="CIDADE"/>
    <tableColumn id="6" name="UF"/>
    <tableColumn id="7" name="TIPO DE OBRA"/>
    <tableColumn id="8" name="INÍCIO DA OBRA"/>
    <tableColumn id="9" name="FIM DA OBRA"/>
    <tableColumn id="10" name="ENTREGA PREVISTA"/>
    <tableColumn id="11" name="SITUAÇÃO"/>
  </tableColumns>
</table>
</file>

<file path=xl/tables/table6.xml><?xml version="1.0" encoding="utf-8"?>
<table xmlns="http://schemas.openxmlformats.org/spreadsheetml/2006/main" id="6" name="tb_Entregues" displayName="tb_Entregues" ref="A1:U5" headerRowCount="1" totalsRowCount="0" totalsRowShown="0">
  <autoFilter ref="A1:U5"/>
  <tableColumns count="21">
    <tableColumn id="1" name="CÓDIGO"/>
    <tableColumn id="2" name="NOME"/>
    <tableColumn id="3" name="CLIENTE"/>
    <tableColumn id="4" name="UF"/>
    <tableColumn id="5" name="CIDADE"/>
    <tableColumn id="6" name="CRITICIDADE"/>
    <tableColumn id="7" name="TIPO DE OBRA"/>
    <tableColumn id="8" name="ÁREA (m²)"/>
    <tableColumn id="9" name="APROVAÇÃO"/>
    <tableColumn id="10" name="CONTRATO ASSINADO"/>
    <tableColumn id="11" name="PROJETO BÁSICO"/>
    <tableColumn id="12" name="PROJETO EXECUTIVO"/>
    <tableColumn id="13" name="ALVARÁ"/>
    <tableColumn id="14" name="INÍCIO DA OBRA"/>
    <tableColumn id="15" name="FIM DA OBRA"/>
    <tableColumn id="16" name="PRAZO (DIAS)"/>
    <tableColumn id="17" name="ENTREGA"/>
    <tableColumn id="18" name="HISTÓRICO"/>
    <tableColumn id="19" name="ÚLTIMO REGISTRO"/>
    <tableColumn id="20" name="ETAPA"/>
    <tableColumn id="21" name="SITUAÇÃO"/>
  </tableColumns>
</table>
</file>

<file path=xl/tables/table7.xml><?xml version="1.0" encoding="utf-8"?>
<table xmlns="http://schemas.openxmlformats.org/spreadsheetml/2006/main" id="7" name="tb_Etapas" displayName="tb_Etapas" ref="A1:B18" headerRowCount="1" totalsRowCount="0" totalsRowShown="0">
  <autoFilter ref="A1:B18"/>
  <tableColumns count="2">
    <tableColumn id="1" name="CÓDIGO"/>
    <tableColumn id="2" name="ETAPA"/>
  </tableColumns>
</table>
</file>

<file path=xl/tables/table8.xml><?xml version="1.0" encoding="utf-8"?>
<table xmlns="http://schemas.openxmlformats.org/spreadsheetml/2006/main" id="8" name="tb_Obras" displayName="tb_Obras" ref="A2:U14" headerRowCount="1" totalsRowCount="0" totalsRowShown="0">
  <autoFilter ref="A2:U14"/>
  <tableColumns count="21">
    <tableColumn id="1" name="CÓDIGO"/>
    <tableColumn id="2" name="NOME"/>
    <tableColumn id="3" name="CLIENTE"/>
    <tableColumn id="4" name="UF"/>
    <tableColumn id="5" name="CIDADE"/>
    <tableColumn id="6" name="CRITICIDADE"/>
    <tableColumn id="7" name="TIPO DE OBRA"/>
    <tableColumn id="8" name="ÁREA (m²)"/>
    <tableColumn id="9" name="APROVAÇÃO"/>
    <tableColumn id="10" name="CONTRATO ASSINADO"/>
    <tableColumn id="11" name="PROJETO BÁSICO"/>
    <tableColumn id="12" name="PROJETO EXECUTIVO"/>
    <tableColumn id="13" name="ALVARÁ"/>
    <tableColumn id="14" name="INÍCIO DA OBRA"/>
    <tableColumn id="15" name="FIM DA OBRA"/>
    <tableColumn id="16" name="PRAZO (DIAS)"/>
    <tableColumn id="17" name="ENTREGA"/>
    <tableColumn id="18" name="HISTÓRICO"/>
    <tableColumn id="19" name="ÚLTIMO REGISTRO"/>
    <tableColumn id="20" name="ETAPA"/>
    <tableColumn id="21" name="SITUAÇÃ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5" t="s">
        <v>2</v>
      </c>
      <c r="B4" s="6" t="s">
        <v>3</v>
      </c>
    </row>
    <row r="5" customFormat="false" ht="35.0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/>
      <c r="B12" s="4"/>
    </row>
    <row r="13" customFormat="false" ht="15" hidden="false" customHeight="false" outlineLevel="0" collapsed="false">
      <c r="A13" s="5" t="s">
        <v>18</v>
      </c>
      <c r="B13" s="4"/>
    </row>
    <row r="14" customFormat="false" ht="23.85" hidden="false" customHeight="false" outlineLevel="0" collapsed="false">
      <c r="A14" s="3" t="s">
        <v>19</v>
      </c>
      <c r="B14" s="4" t="s">
        <v>20</v>
      </c>
    </row>
    <row r="15" customFormat="false" ht="15" hidden="false" customHeight="false" outlineLevel="0" collapsed="false">
      <c r="A15" s="3" t="s">
        <v>21</v>
      </c>
      <c r="B15" s="4" t="s">
        <v>22</v>
      </c>
    </row>
    <row r="16" customFormat="false" ht="15" hidden="false" customHeight="false" outlineLevel="0" collapsed="false">
      <c r="A16" s="3" t="s">
        <v>23</v>
      </c>
      <c r="B16" s="4" t="s">
        <v>24</v>
      </c>
    </row>
    <row r="17" customFormat="false" ht="15" hidden="false" customHeight="false" outlineLevel="0" collapsed="false">
      <c r="A17" s="3" t="s">
        <v>25</v>
      </c>
      <c r="B17" s="4" t="s">
        <v>26</v>
      </c>
    </row>
    <row r="18" customFormat="false" ht="15" hidden="false" customHeight="false" outlineLevel="0" collapsed="false">
      <c r="A18" s="3" t="s">
        <v>27</v>
      </c>
      <c r="B18" s="4" t="s">
        <v>28</v>
      </c>
    </row>
    <row r="19" customFormat="false" ht="15" hidden="false" customHeight="false" outlineLevel="0" collapsed="false">
      <c r="A19" s="3" t="s">
        <v>29</v>
      </c>
      <c r="B19" s="4" t="s">
        <v>30</v>
      </c>
    </row>
    <row r="20" customFormat="false" ht="15" hidden="false" customHeight="false" outlineLevel="0" collapsed="false">
      <c r="A20" s="3" t="s">
        <v>31</v>
      </c>
      <c r="B20" s="4" t="s">
        <v>32</v>
      </c>
    </row>
    <row r="21" customFormat="false" ht="15" hidden="false" customHeight="false" outlineLevel="0" collapsed="false">
      <c r="A21" s="3"/>
      <c r="B21" s="4"/>
    </row>
    <row r="22" customFormat="false" ht="15" hidden="false" customHeight="false" outlineLevel="0" collapsed="false">
      <c r="A22" s="5" t="s">
        <v>33</v>
      </c>
      <c r="B22" s="4"/>
    </row>
    <row r="23" customFormat="false" ht="15" hidden="false" customHeight="false" outlineLevel="0" collapsed="false">
      <c r="A23" s="3" t="s">
        <v>34</v>
      </c>
      <c r="B23" s="4" t="s">
        <v>35</v>
      </c>
    </row>
    <row r="24" customFormat="false" ht="15" hidden="false" customHeight="false" outlineLevel="0" collapsed="false">
      <c r="A24" s="3" t="s">
        <v>36</v>
      </c>
      <c r="B24" s="4" t="s">
        <v>37</v>
      </c>
    </row>
    <row r="25" customFormat="false" ht="23.85" hidden="false" customHeight="false" outlineLevel="0" collapsed="false">
      <c r="A25" s="3" t="s">
        <v>38</v>
      </c>
      <c r="B25" s="4" t="s">
        <v>39</v>
      </c>
    </row>
    <row r="26" customFormat="false" ht="23.85" hidden="false" customHeight="false" outlineLevel="0" collapsed="false">
      <c r="A26" s="3" t="s">
        <v>40</v>
      </c>
      <c r="B26" s="4" t="s">
        <v>41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4" min="3" style="0" width="11"/>
    <col collapsed="false" customWidth="true" hidden="false" outlineLevel="0" max="5" min="5" style="0" width="20"/>
    <col collapsed="false" customWidth="true" hidden="false" outlineLevel="0" max="7" min="6" style="0" width="15"/>
    <col collapsed="false" customWidth="true" hidden="false" outlineLevel="0" max="9" min="8" style="0" width="13"/>
    <col collapsed="false" customWidth="true" hidden="false" outlineLevel="0" max="10" min="10" style="0" width="21"/>
    <col collapsed="false" customWidth="true" hidden="false" outlineLevel="0" max="11" min="11" style="0" width="18"/>
    <col collapsed="false" customWidth="true" hidden="false" outlineLevel="0" max="12" min="12" style="0" width="21"/>
    <col collapsed="false" customWidth="true" hidden="false" outlineLevel="0" max="13" min="13" style="0" width="11"/>
    <col collapsed="false" customWidth="true" hidden="false" outlineLevel="0" max="14" min="14" style="0" width="18"/>
    <col collapsed="false" customWidth="true" hidden="false" outlineLevel="0" max="15" min="15" style="0" width="15"/>
    <col collapsed="false" customWidth="true" hidden="false" outlineLevel="0" max="16" min="16" style="0" width="16"/>
    <col collapsed="false" customWidth="true" hidden="false" outlineLevel="0" max="17" min="17" style="0" width="11"/>
    <col collapsed="false" customWidth="true" hidden="false" outlineLevel="0" max="18" min="18" style="0" width="40"/>
    <col collapsed="false" customWidth="true" hidden="false" outlineLevel="0" max="19" min="19" style="0" width="45"/>
    <col collapsed="false" customWidth="true" hidden="false" outlineLevel="0" max="20" min="20" style="0" width="22"/>
    <col collapsed="false" customWidth="true" hidden="false" outlineLevel="0" max="21" min="21" style="0" width="12"/>
  </cols>
  <sheetData>
    <row r="1" customFormat="false" ht="31.5" hidden="false" customHeight="true" outlineLevel="0" collapsed="false">
      <c r="A1" s="7" t="s">
        <v>42</v>
      </c>
    </row>
    <row r="2" customFormat="false" ht="31.5" hidden="false" customHeight="true" outlineLevel="0" collapsed="false">
      <c r="A2" s="8" t="s">
        <v>43</v>
      </c>
      <c r="B2" s="8" t="s">
        <v>44</v>
      </c>
      <c r="C2" s="8" t="s">
        <v>45</v>
      </c>
      <c r="D2" s="8" t="s">
        <v>46</v>
      </c>
      <c r="E2" s="8" t="s">
        <v>47</v>
      </c>
      <c r="F2" s="8" t="s">
        <v>48</v>
      </c>
      <c r="G2" s="8" t="s">
        <v>49</v>
      </c>
      <c r="H2" s="8" t="s">
        <v>50</v>
      </c>
      <c r="I2" s="8" t="s">
        <v>51</v>
      </c>
      <c r="J2" s="8" t="s">
        <v>52</v>
      </c>
      <c r="K2" s="9" t="s">
        <v>53</v>
      </c>
      <c r="L2" s="9" t="s">
        <v>54</v>
      </c>
      <c r="M2" s="9" t="s">
        <v>55</v>
      </c>
      <c r="N2" s="8" t="s">
        <v>56</v>
      </c>
      <c r="O2" s="8" t="s">
        <v>57</v>
      </c>
      <c r="P2" s="8" t="s">
        <v>58</v>
      </c>
      <c r="Q2" s="8" t="s">
        <v>59</v>
      </c>
      <c r="R2" s="8" t="s">
        <v>60</v>
      </c>
      <c r="S2" s="8" t="s">
        <v>61</v>
      </c>
      <c r="T2" s="8" t="s">
        <v>62</v>
      </c>
      <c r="U2" s="8" t="s">
        <v>63</v>
      </c>
    </row>
    <row r="3" customFormat="false" ht="15" hidden="false" customHeight="true" outlineLevel="0" collapsed="false">
      <c r="A3" s="10" t="s">
        <v>64</v>
      </c>
      <c r="B3" s="11" t="str">
        <f aca="false">IFERROR(IF(INDEX(CRONOGRAMA!$B:$B,MATCH($A3,CRONOGRAMA!$A:$A,0))="","",INDEX(CRONOGRAMA!$B:$B,MATCH($A3,CRONOGRAMA!$A:$A,0))),IFERROR(IF(INDEX(CARTEIRA!$B:$B,MATCH($A3,CARTEIRA!$A:$A,0))="","",INDEX(CARTEIRA!$B:$B,MATCH($A3,CARTEIRA!$A:$A,0))),""))</f>
        <v>GALPÃO NORTE 1</v>
      </c>
      <c r="C3" s="11" t="str">
        <f aca="false">IFERROR(IF(INDEX(CRONOGRAMA!$C:$C,MATCH($A3,CRONOGRAMA!$A:$A,0))="","",INDEX(CRONOGRAMA!$C:$C,MATCH($A3,CRONOGRAMA!$A:$A,0))),IFERROR(IF(INDEX(CARTEIRA!$C:$C,MATCH($A3,CARTEIRA!$A:$A,0))="","",INDEX(CARTEIRA!$C:$C,MATCH($A3,CARTEIRA!$A:$A,0))),""))</f>
        <v>CLIENTE ATLAS</v>
      </c>
      <c r="D3" s="11" t="str">
        <f aca="false">IFERROR(IF(INDEX(CRONOGRAMA!$F:$F,MATCH($A3,CRONOGRAMA!$A:$A,0))="","",INDEX(CRONOGRAMA!$F:$F,MATCH($A3,CRONOGRAMA!$A:$A,0))),IFERROR(IF(INDEX(CARTEIRA!$E:$E,MATCH($A3,CARTEIRA!$A:$A,0))="","",INDEX(CARTEIRA!$E:$E,MATCH($A3,CARTEIRA!$A:$A,0))),""))</f>
        <v>SP</v>
      </c>
      <c r="E3" s="11" t="str">
        <f aca="false">IFERROR(IF(INDEX(CRONOGRAMA!$E:$E,MATCH($A3,CRONOGRAMA!$A:$A,0))="","",INDEX(CRONOGRAMA!$E:$E,MATCH($A3,CRONOGRAMA!$A:$A,0))),IFERROR(IF(INDEX(CARTEIRA!$D:$D,MATCH($A3,CARTEIRA!$A:$A,0))="","",INDEX(CARTEIRA!$D:$D,MATCH($A3,CARTEIRA!$A:$A,0))),""))</f>
        <v>CAMPINAS</v>
      </c>
      <c r="F3" s="11" t="str">
        <f aca="false">IFERROR(IF(INDEX(CARTEIRA!$H:$H,MATCH($A3,CARTEIRA!$A:$A,0))="","",INDEX(CARTEIRA!$H:$H,MATCH($A3,CARTEIRA!$A:$A,0))),"")</f>
        <v>ALTA</v>
      </c>
      <c r="G3" s="11" t="str">
        <f aca="false">IFERROR(IF(INDEX(CRONOGRAMA!$G:$G,MATCH($A3,CRONOGRAMA!$A:$A,0))="","",INDEX(CRONOGRAMA!$G:$G,MATCH($A3,CRONOGRAMA!$A:$A,0))),IFERROR(IF(INDEX(CARTEIRA!$F:$F,MATCH($A3,CARTEIRA!$A:$A,0))="","",INDEX(CARTEIRA!$F:$F,MATCH($A3,CARTEIRA!$A:$A,0))),""))</f>
        <v>CONSTRUÇÃO</v>
      </c>
      <c r="H3" s="12" t="n">
        <f aca="false">IFERROR(IF(INDEX(CARTEIRA!$G:$G,MATCH($A3,CARTEIRA!$A:$A,0))="","",INDEX(CARTEIRA!$G:$G,MATCH($A3,CARTEIRA!$A:$A,0))),"")</f>
        <v>8000</v>
      </c>
      <c r="I3" s="13" t="n">
        <f aca="false">IFERROR(IF(INDEX(CARTEIRA!$I:$I,MATCH($A3,CARTEIRA!$A:$A,0))="","",INDEX(CARTEIRA!$I:$I,MATCH($A3,CARTEIRA!$A:$A,0))),"")</f>
        <v>46539</v>
      </c>
      <c r="J3" s="13" t="n">
        <f aca="false">IFERROR(IF(INDEX(CONTRATOS!$C:$C,MATCH($A3,CONTRATOS!$A:$A,0))="","",INDEX(CONTRATOS!$C:$C,MATCH($A3,CONTRATOS!$A:$A,0))),"")</f>
        <v>46636</v>
      </c>
      <c r="K3" s="13" t="n">
        <v>46622</v>
      </c>
      <c r="L3" s="13"/>
      <c r="M3" s="13" t="n">
        <v>46687</v>
      </c>
      <c r="N3" s="13" t="n">
        <f aca="false">IFERROR(IF(INDEX(CRONOGRAMA!$H:$H,MATCH($A3,CRONOGRAMA!$A:$A,0))="","",INDEX(CRONOGRAMA!$H:$H,MATCH($A3,CRONOGRAMA!$A:$A,0))),IFERROR(IF(INDEX(CARTEIRA!$K:$K,MATCH($A3,CARTEIRA!$A:$A,0))="","",INDEX(CARTEIRA!$K:$K,MATCH($A3,CARTEIRA!$A:$A,0))),""))</f>
        <v>46697</v>
      </c>
      <c r="O3" s="13" t="n">
        <f aca="false">IFERROR(IF(INDEX(CRONOGRAMA!$I:$I,MATCH($A3,CRONOGRAMA!$A:$A,0))="","",INDEX(CRONOGRAMA!$I:$I,MATCH($A3,CRONOGRAMA!$A:$A,0))),IFERROR(IF(INDEX(CARTEIRA!$L:$L,MATCH($A3,CARTEIRA!$A:$A,0))="","",INDEX(CARTEIRA!$L:$L,MATCH($A3,CARTEIRA!$A:$A,0))),""))</f>
        <v>46836</v>
      </c>
      <c r="P3" s="14" t="n">
        <f aca="false">IFERROR(O3-N3,"")</f>
        <v>139</v>
      </c>
      <c r="Q3" s="13" t="n">
        <f aca="false">IFERROR(IF(INDEX(CRONOGRAMA!$J:$J,MATCH($A3,CRONOGRAMA!$A:$A,0))="","",INDEX(CRONOGRAMA!$J:$J,MATCH($A3,CRONOGRAMA!$A:$A,0))),IFERROR(IF(INDEX(CARTEIRA!$M:$M,MATCH($A3,CARTEIRA!$A:$A,0))="","",INDEX(CARTEIRA!$M:$M,MATCH($A3,CARTEIRA!$A:$A,0))),""))</f>
        <v>46850</v>
      </c>
      <c r="R3" s="4" t="s">
        <v>65</v>
      </c>
      <c r="S3" s="4" t="s">
        <v>66</v>
      </c>
      <c r="T3" s="11" t="str">
        <f aca="false">IFERROR(IF(INDEX(ETAPAS!$B:$B,MATCH($A3,ETAPAS!$A:$A,0))="","",INDEX(ETAPAS!$B:$B,MATCH($A3,ETAPAS!$A:$A,0))),"")</f>
        <v>1. MOBILIZAÇÃO</v>
      </c>
      <c r="U3" s="11" t="s">
        <v>67</v>
      </c>
    </row>
    <row r="4" customFormat="false" ht="15" hidden="false" customHeight="true" outlineLevel="0" collapsed="false">
      <c r="A4" s="10" t="s">
        <v>68</v>
      </c>
      <c r="B4" s="11" t="str">
        <f aca="false">IFERROR(IF(INDEX(CRONOGRAMA!$B:$B,MATCH($A4,CRONOGRAMA!$A:$A,0))="","",INDEX(CRONOGRAMA!$B:$B,MATCH($A4,CRONOGRAMA!$A:$A,0))),IFERROR(IF(INDEX(CARTEIRA!$B:$B,MATCH($A4,CARTEIRA!$A:$A,0))="","",INDEX(CARTEIRA!$B:$B,MATCH($A4,CARTEIRA!$A:$A,0))),""))</f>
        <v>CD RODOVIA SUL</v>
      </c>
      <c r="C4" s="11" t="str">
        <f aca="false">IFERROR(IF(INDEX(CRONOGRAMA!$C:$C,MATCH($A4,CRONOGRAMA!$A:$A,0))="","",INDEX(CRONOGRAMA!$C:$C,MATCH($A4,CRONOGRAMA!$A:$A,0))),IFERROR(IF(INDEX(CARTEIRA!$C:$C,MATCH($A4,CARTEIRA!$A:$A,0))="","",INDEX(CARTEIRA!$C:$C,MATCH($A4,CARTEIRA!$A:$A,0))),""))</f>
        <v>CLIENTE BOREAL</v>
      </c>
      <c r="D4" s="11" t="str">
        <f aca="false">IFERROR(IF(INDEX(CRONOGRAMA!$F:$F,MATCH($A4,CRONOGRAMA!$A:$A,0))="","",INDEX(CRONOGRAMA!$F:$F,MATCH($A4,CRONOGRAMA!$A:$A,0))),IFERROR(IF(INDEX(CARTEIRA!$E:$E,MATCH($A4,CARTEIRA!$A:$A,0))="","",INDEX(CARTEIRA!$E:$E,MATCH($A4,CARTEIRA!$A:$A,0))),""))</f>
        <v>SP</v>
      </c>
      <c r="E4" s="11" t="str">
        <f aca="false">IFERROR(IF(INDEX(CRONOGRAMA!$E:$E,MATCH($A4,CRONOGRAMA!$A:$A,0))="","",INDEX(CRONOGRAMA!$E:$E,MATCH($A4,CRONOGRAMA!$A:$A,0))),IFERROR(IF(INDEX(CARTEIRA!$D:$D,MATCH($A4,CARTEIRA!$A:$A,0))="","",INDEX(CARTEIRA!$D:$D,MATCH($A4,CARTEIRA!$A:$A,0))),""))</f>
        <v>JUNDIAI</v>
      </c>
      <c r="F4" s="11" t="str">
        <f aca="false">IFERROR(IF(INDEX(CARTEIRA!$H:$H,MATCH($A4,CARTEIRA!$A:$A,0))="","",INDEX(CARTEIRA!$H:$H,MATCH($A4,CARTEIRA!$A:$A,0))),"")</f>
        <v>MÉDIA</v>
      </c>
      <c r="G4" s="11" t="str">
        <f aca="false">IFERROR(IF(INDEX(CRONOGRAMA!$G:$G,MATCH($A4,CRONOGRAMA!$A:$A,0))="","",INDEX(CRONOGRAMA!$G:$G,MATCH($A4,CRONOGRAMA!$A:$A,0))),IFERROR(IF(INDEX(CARTEIRA!$F:$F,MATCH($A4,CARTEIRA!$A:$A,0))="","",INDEX(CARTEIRA!$F:$F,MATCH($A4,CARTEIRA!$A:$A,0))),""))</f>
        <v>CONSTRUÇÃO</v>
      </c>
      <c r="H4" s="12" t="n">
        <f aca="false">IFERROR(IF(INDEX(CARTEIRA!$G:$G,MATCH($A4,CARTEIRA!$A:$A,0))="","",INDEX(CARTEIRA!$G:$G,MATCH($A4,CARTEIRA!$A:$A,0))),"")</f>
        <v>11700</v>
      </c>
      <c r="I4" s="13" t="n">
        <f aca="false">IFERROR(IF(INDEX(CARTEIRA!$I:$I,MATCH($A4,CARTEIRA!$A:$A,0))="","",INDEX(CARTEIRA!$I:$I,MATCH($A4,CARTEIRA!$A:$A,0))),"")</f>
        <v>46556</v>
      </c>
      <c r="J4" s="13" t="n">
        <f aca="false">IFERROR(IF(INDEX(CONTRATOS!$C:$C,MATCH($A4,CONTRATOS!$A:$A,0))="","",INDEX(CONTRATOS!$C:$C,MATCH($A4,CONTRATOS!$A:$A,0))),"")</f>
        <v>46647</v>
      </c>
      <c r="K4" s="13" t="n">
        <v>46750</v>
      </c>
      <c r="L4" s="13" t="n">
        <v>46795</v>
      </c>
      <c r="M4" s="13"/>
      <c r="N4" s="13" t="n">
        <f aca="false">IFERROR(IF(INDEX(CRONOGRAMA!$H:$H,MATCH($A4,CRONOGRAMA!$A:$A,0))="","",INDEX(CRONOGRAMA!$H:$H,MATCH($A4,CRONOGRAMA!$A:$A,0))),IFERROR(IF(INDEX(CARTEIRA!$K:$K,MATCH($A4,CARTEIRA!$A:$A,0))="","",INDEX(CARTEIRA!$K:$K,MATCH($A4,CARTEIRA!$A:$A,0))),""))</f>
        <v>46825</v>
      </c>
      <c r="O4" s="13" t="n">
        <f aca="false">IFERROR(IF(INDEX(CRONOGRAMA!$I:$I,MATCH($A4,CRONOGRAMA!$A:$A,0))="","",INDEX(CRONOGRAMA!$I:$I,MATCH($A4,CRONOGRAMA!$A:$A,0))),IFERROR(IF(INDEX(CARTEIRA!$L:$L,MATCH($A4,CARTEIRA!$A:$A,0))="","",INDEX(CARTEIRA!$L:$L,MATCH($A4,CARTEIRA!$A:$A,0))),""))</f>
        <v>46955</v>
      </c>
      <c r="P4" s="14" t="n">
        <f aca="false">IFERROR(O4-N4,"")</f>
        <v>130</v>
      </c>
      <c r="Q4" s="13" t="n">
        <f aca="false">IFERROR(IF(INDEX(CRONOGRAMA!$J:$J,MATCH($A4,CRONOGRAMA!$A:$A,0))="","",INDEX(CRONOGRAMA!$J:$J,MATCH($A4,CRONOGRAMA!$A:$A,0))),IFERROR(IF(INDEX(CARTEIRA!$M:$M,MATCH($A4,CARTEIRA!$A:$A,0))="","",INDEX(CARTEIRA!$M:$M,MATCH($A4,CARTEIRA!$A:$A,0))),""))</f>
        <v>46969</v>
      </c>
      <c r="R4" s="4" t="s">
        <v>69</v>
      </c>
      <c r="S4" s="4" t="s">
        <v>70</v>
      </c>
      <c r="T4" s="11" t="str">
        <f aca="false">IFERROR(IF(INDEX(ETAPAS!$B:$B,MATCH($A4,ETAPAS!$A:$A,0))="","",INDEX(ETAPAS!$B:$B,MATCH($A4,ETAPAS!$A:$A,0))),"")</f>
        <v>3. FUNDAÇÃO</v>
      </c>
      <c r="U4" s="11"/>
    </row>
    <row r="5" customFormat="false" ht="15" hidden="false" customHeight="true" outlineLevel="0" collapsed="false">
      <c r="A5" s="10" t="s">
        <v>71</v>
      </c>
      <c r="B5" s="11" t="str">
        <f aca="false">IFERROR(IF(INDEX(CRONOGRAMA!$B:$B,MATCH($A5,CRONOGRAMA!$A:$A,0))="","",INDEX(CRONOGRAMA!$B:$B,MATCH($A5,CRONOGRAMA!$A:$A,0))),IFERROR(IF(INDEX(CARTEIRA!$B:$B,MATCH($A5,CARTEIRA!$A:$A,0))="","",INDEX(CARTEIRA!$B:$B,MATCH($A5,CARTEIRA!$A:$A,0))),""))</f>
        <v>CONDOMÍNIO LOGÍSTICO VALE</v>
      </c>
      <c r="C5" s="11" t="str">
        <f aca="false">IFERROR(IF(INDEX(CRONOGRAMA!$C:$C,MATCH($A5,CRONOGRAMA!$A:$A,0))="","",INDEX(CRONOGRAMA!$C:$C,MATCH($A5,CRONOGRAMA!$A:$A,0))),IFERROR(IF(INDEX(CARTEIRA!$C:$C,MATCH($A5,CARTEIRA!$A:$A,0))="","",INDEX(CARTEIRA!$C:$C,MATCH($A5,CARTEIRA!$A:$A,0))),""))</f>
        <v>CLIENTE CRUZEIRO</v>
      </c>
      <c r="D5" s="11" t="str">
        <f aca="false">IFERROR(IF(INDEX(CRONOGRAMA!$F:$F,MATCH($A5,CRONOGRAMA!$A:$A,0))="","",INDEX(CRONOGRAMA!$F:$F,MATCH($A5,CRONOGRAMA!$A:$A,0))),IFERROR(IF(INDEX(CARTEIRA!$E:$E,MATCH($A5,CARTEIRA!$A:$A,0))="","",INDEX(CARTEIRA!$E:$E,MATCH($A5,CARTEIRA!$A:$A,0))),""))</f>
        <v>SP</v>
      </c>
      <c r="E5" s="11" t="str">
        <f aca="false">IFERROR(IF(INDEX(CRONOGRAMA!$E:$E,MATCH($A5,CRONOGRAMA!$A:$A,0))="","",INDEX(CRONOGRAMA!$E:$E,MATCH($A5,CRONOGRAMA!$A:$A,0))),IFERROR(IF(INDEX(CARTEIRA!$D:$D,MATCH($A5,CARTEIRA!$A:$A,0))="","",INDEX(CARTEIRA!$D:$D,MATCH($A5,CARTEIRA!$A:$A,0))),""))</f>
        <v>GUARULHOS</v>
      </c>
      <c r="F5" s="11" t="str">
        <f aca="false">IFERROR(IF(INDEX(CARTEIRA!$H:$H,MATCH($A5,CARTEIRA!$A:$A,0))="","",INDEX(CARTEIRA!$H:$H,MATCH($A5,CARTEIRA!$A:$A,0))),"")</f>
        <v>BAIXA</v>
      </c>
      <c r="G5" s="11" t="str">
        <f aca="false">IFERROR(IF(INDEX(CRONOGRAMA!$G:$G,MATCH($A5,CRONOGRAMA!$A:$A,0))="","",INDEX(CRONOGRAMA!$G:$G,MATCH($A5,CRONOGRAMA!$A:$A,0))),IFERROR(IF(INDEX(CARTEIRA!$F:$F,MATCH($A5,CARTEIRA!$A:$A,0))="","",INDEX(CARTEIRA!$F:$F,MATCH($A5,CARTEIRA!$A:$A,0))),""))</f>
        <v>AMPLIAÇÃO</v>
      </c>
      <c r="H5" s="12" t="n">
        <f aca="false">IFERROR(IF(INDEX(CARTEIRA!$G:$G,MATCH($A5,CARTEIRA!$A:$A,0))="","",INDEX(CARTEIRA!$G:$G,MATCH($A5,CARTEIRA!$A:$A,0))),"")</f>
        <v>15400</v>
      </c>
      <c r="I5" s="13" t="n">
        <f aca="false">IFERROR(IF(INDEX(CARTEIRA!$I:$I,MATCH($A5,CARTEIRA!$A:$A,0))="","",INDEX(CARTEIRA!$I:$I,MATCH($A5,CARTEIRA!$A:$A,0))),"")</f>
        <v>46573</v>
      </c>
      <c r="J5" s="13" t="n">
        <f aca="false">IFERROR(IF(INDEX(CONTRATOS!$C:$C,MATCH($A5,CONTRATOS!$A:$A,0))="","",INDEX(CONTRATOS!$C:$C,MATCH($A5,CONTRATOS!$A:$A,0))),"")</f>
        <v>46658</v>
      </c>
      <c r="K5" s="13" t="n">
        <v>46757</v>
      </c>
      <c r="L5" s="13" t="n">
        <v>46802</v>
      </c>
      <c r="M5" s="13" t="n">
        <v>46822</v>
      </c>
      <c r="N5" s="13" t="n">
        <f aca="false">IFERROR(IF(INDEX(CRONOGRAMA!$H:$H,MATCH($A5,CRONOGRAMA!$A:$A,0))="","",INDEX(CRONOGRAMA!$H:$H,MATCH($A5,CRONOGRAMA!$A:$A,0))),IFERROR(IF(INDEX(CARTEIRA!$K:$K,MATCH($A5,CARTEIRA!$A:$A,0))="","",INDEX(CARTEIRA!$K:$K,MATCH($A5,CARTEIRA!$A:$A,0))),""))</f>
        <v>46832</v>
      </c>
      <c r="O5" s="13" t="n">
        <f aca="false">IFERROR(IF(INDEX(CRONOGRAMA!$I:$I,MATCH($A5,CRONOGRAMA!$A:$A,0))="","",INDEX(CRONOGRAMA!$I:$I,MATCH($A5,CRONOGRAMA!$A:$A,0))),IFERROR(IF(INDEX(CARTEIRA!$L:$L,MATCH($A5,CARTEIRA!$A:$A,0))="","",INDEX(CARTEIRA!$L:$L,MATCH($A5,CARTEIRA!$A:$A,0))),""))</f>
        <v>46972</v>
      </c>
      <c r="P5" s="14" t="n">
        <f aca="false">IFERROR(O5-N5,"")</f>
        <v>140</v>
      </c>
      <c r="Q5" s="13" t="n">
        <f aca="false">IFERROR(IF(INDEX(CRONOGRAMA!$J:$J,MATCH($A5,CRONOGRAMA!$A:$A,0))="","",INDEX(CRONOGRAMA!$J:$J,MATCH($A5,CRONOGRAMA!$A:$A,0))),IFERROR(IF(INDEX(CARTEIRA!$M:$M,MATCH($A5,CARTEIRA!$A:$A,0))="","",INDEX(CARTEIRA!$M:$M,MATCH($A5,CARTEIRA!$A:$A,0))),""))</f>
        <v>46986</v>
      </c>
      <c r="R5" s="4" t="s">
        <v>72</v>
      </c>
      <c r="S5" s="4" t="s">
        <v>73</v>
      </c>
      <c r="T5" s="11" t="str">
        <f aca="false">IFERROR(IF(INDEX(ETAPAS!$B:$B,MATCH($A5,ETAPAS!$A:$A,0))="","",INDEX(ETAPAS!$B:$B,MATCH($A5,ETAPAS!$A:$A,0))),"")</f>
        <v>5. COBERTURA</v>
      </c>
      <c r="U5" s="11"/>
    </row>
    <row r="6" customFormat="false" ht="15" hidden="false" customHeight="true" outlineLevel="0" collapsed="false">
      <c r="A6" s="10" t="s">
        <v>74</v>
      </c>
      <c r="B6" s="11" t="str">
        <f aca="false">IFERROR(IF(INDEX(CRONOGRAMA!$B:$B,MATCH($A6,CRONOGRAMA!$A:$A,0))="","",INDEX(CRONOGRAMA!$B:$B,MATCH($A6,CRONOGRAMA!$A:$A,0))),IFERROR(IF(INDEX(CARTEIRA!$B:$B,MATCH($A6,CARTEIRA!$A:$A,0))="","",INDEX(CARTEIRA!$B:$B,MATCH($A6,CARTEIRA!$A:$A,0))),""))</f>
        <v>GALPÃO SERRA AZUL</v>
      </c>
      <c r="C6" s="11" t="str">
        <f aca="false">IFERROR(IF(INDEX(CRONOGRAMA!$C:$C,MATCH($A6,CRONOGRAMA!$A:$A,0))="","",INDEX(CRONOGRAMA!$C:$C,MATCH($A6,CRONOGRAMA!$A:$A,0))),IFERROR(IF(INDEX(CARTEIRA!$C:$C,MATCH($A6,CARTEIRA!$A:$A,0))="","",INDEX(CARTEIRA!$C:$C,MATCH($A6,CARTEIRA!$A:$A,0))),""))</f>
        <v>CLIENTE DELTA</v>
      </c>
      <c r="D6" s="11" t="str">
        <f aca="false">IFERROR(IF(INDEX(CRONOGRAMA!$F:$F,MATCH($A6,CRONOGRAMA!$A:$A,0))="","",INDEX(CRONOGRAMA!$F:$F,MATCH($A6,CRONOGRAMA!$A:$A,0))),IFERROR(IF(INDEX(CARTEIRA!$E:$E,MATCH($A6,CARTEIRA!$A:$A,0))="","",INDEX(CARTEIRA!$E:$E,MATCH($A6,CARTEIRA!$A:$A,0))),""))</f>
        <v>SP</v>
      </c>
      <c r="E6" s="11" t="str">
        <f aca="false">IFERROR(IF(INDEX(CRONOGRAMA!$E:$E,MATCH($A6,CRONOGRAMA!$A:$A,0))="","",INDEX(CRONOGRAMA!$E:$E,MATCH($A6,CRONOGRAMA!$A:$A,0))),IFERROR(IF(INDEX(CARTEIRA!$D:$D,MATCH($A6,CARTEIRA!$A:$A,0))="","",INDEX(CARTEIRA!$D:$D,MATCH($A6,CARTEIRA!$A:$A,0))),""))</f>
        <v>BARUERI</v>
      </c>
      <c r="F6" s="11" t="str">
        <f aca="false">IFERROR(IF(INDEX(CARTEIRA!$H:$H,MATCH($A6,CARTEIRA!$A:$A,0))="","",INDEX(CARTEIRA!$H:$H,MATCH($A6,CARTEIRA!$A:$A,0))),"")</f>
        <v>MÉDIA</v>
      </c>
      <c r="G6" s="11" t="str">
        <f aca="false">IFERROR(IF(INDEX(CRONOGRAMA!$G:$G,MATCH($A6,CRONOGRAMA!$A:$A,0))="","",INDEX(CRONOGRAMA!$G:$G,MATCH($A6,CRONOGRAMA!$A:$A,0))),IFERROR(IF(INDEX(CARTEIRA!$F:$F,MATCH($A6,CARTEIRA!$A:$A,0))="","",INDEX(CARTEIRA!$F:$F,MATCH($A6,CARTEIRA!$A:$A,0))),""))</f>
        <v>RETROFIT</v>
      </c>
      <c r="H6" s="12" t="n">
        <f aca="false">IFERROR(IF(INDEX(CARTEIRA!$G:$G,MATCH($A6,CARTEIRA!$A:$A,0))="","",INDEX(CARTEIRA!$G:$G,MATCH($A6,CARTEIRA!$A:$A,0))),"")</f>
        <v>19100</v>
      </c>
      <c r="I6" s="13" t="n">
        <f aca="false">IFERROR(IF(INDEX(CARTEIRA!$I:$I,MATCH($A6,CARTEIRA!$A:$A,0))="","",INDEX(CARTEIRA!$I:$I,MATCH($A6,CARTEIRA!$A:$A,0))),"")</f>
        <v>46590</v>
      </c>
      <c r="J6" s="13" t="n">
        <f aca="false">IFERROR(IF(INDEX(CONTRATOS!$C:$C,MATCH($A6,CONTRATOS!$A:$A,0))="","",INDEX(CONTRATOS!$C:$C,MATCH($A6,CONTRATOS!$A:$A,0))),"")</f>
        <v>46669</v>
      </c>
      <c r="K6" s="13" t="n">
        <v>46687</v>
      </c>
      <c r="L6" s="13"/>
      <c r="M6" s="13"/>
      <c r="N6" s="13" t="n">
        <f aca="false">IFERROR(IF(INDEX(CRONOGRAMA!$H:$H,MATCH($A6,CRONOGRAMA!$A:$A,0))="","",INDEX(CRONOGRAMA!$H:$H,MATCH($A6,CRONOGRAMA!$A:$A,0))),IFERROR(IF(INDEX(CARTEIRA!$K:$K,MATCH($A6,CARTEIRA!$A:$A,0))="","",INDEX(CARTEIRA!$K:$K,MATCH($A6,CARTEIRA!$A:$A,0))),""))</f>
        <v>46762</v>
      </c>
      <c r="O6" s="13" t="n">
        <f aca="false">IFERROR(IF(INDEX(CRONOGRAMA!$I:$I,MATCH($A6,CRONOGRAMA!$A:$A,0))="","",INDEX(CRONOGRAMA!$I:$I,MATCH($A6,CRONOGRAMA!$A:$A,0))),IFERROR(IF(INDEX(CARTEIRA!$L:$L,MATCH($A6,CARTEIRA!$A:$A,0))="","",INDEX(CARTEIRA!$L:$L,MATCH($A6,CARTEIRA!$A:$A,0))),""))</f>
        <v>46886</v>
      </c>
      <c r="P6" s="14" t="n">
        <f aca="false">IFERROR(O6-N6,"")</f>
        <v>124</v>
      </c>
      <c r="Q6" s="13" t="n">
        <f aca="false">IFERROR(IF(INDEX(CRONOGRAMA!$J:$J,MATCH($A6,CRONOGRAMA!$A:$A,0))="","",INDEX(CRONOGRAMA!$J:$J,MATCH($A6,CRONOGRAMA!$A:$A,0))),IFERROR(IF(INDEX(CARTEIRA!$M:$M,MATCH($A6,CARTEIRA!$A:$A,0))="","",INDEX(CARTEIRA!$M:$M,MATCH($A6,CARTEIRA!$A:$A,0))),""))</f>
        <v>46899</v>
      </c>
      <c r="R6" s="4" t="s">
        <v>75</v>
      </c>
      <c r="S6" s="4" t="s">
        <v>76</v>
      </c>
      <c r="T6" s="11" t="str">
        <f aca="false">IFERROR(IF(INDEX(ETAPAS!$B:$B,MATCH($A6,ETAPAS!$A:$A,0))="","",INDEX(ETAPAS!$B:$B,MATCH($A6,ETAPAS!$A:$A,0))),"")</f>
        <v>7. INSTALAÇÕES</v>
      </c>
      <c r="U6" s="11"/>
    </row>
    <row r="7" customFormat="false" ht="15" hidden="false" customHeight="true" outlineLevel="0" collapsed="false">
      <c r="A7" s="10" t="s">
        <v>77</v>
      </c>
      <c r="B7" s="11" t="str">
        <f aca="false">IFERROR(IF(INDEX(CRONOGRAMA!$B:$B,MATCH($A7,CRONOGRAMA!$A:$A,0))="","",INDEX(CRONOGRAMA!$B:$B,MATCH($A7,CRONOGRAMA!$A:$A,0))),IFERROR(IF(INDEX(CARTEIRA!$B:$B,MATCH($A7,CARTEIRA!$A:$A,0))="","",INDEX(CARTEIRA!$B:$B,MATCH($A7,CARTEIRA!$A:$A,0))),""))</f>
        <v>CENTRO DE DISTRIBUIÇÃO LESTE</v>
      </c>
      <c r="C7" s="11" t="str">
        <f aca="false">IFERROR(IF(INDEX(CRONOGRAMA!$C:$C,MATCH($A7,CRONOGRAMA!$A:$A,0))="","",INDEX(CRONOGRAMA!$C:$C,MATCH($A7,CRONOGRAMA!$A:$A,0))),IFERROR(IF(INDEX(CARTEIRA!$C:$C,MATCH($A7,CARTEIRA!$A:$A,0))="","",INDEX(CARTEIRA!$C:$C,MATCH($A7,CARTEIRA!$A:$A,0))),""))</f>
        <v>CLIENTE ATLAS</v>
      </c>
      <c r="D7" s="11" t="str">
        <f aca="false">IFERROR(IF(INDEX(CRONOGRAMA!$F:$F,MATCH($A7,CRONOGRAMA!$A:$A,0))="","",INDEX(CRONOGRAMA!$F:$F,MATCH($A7,CRONOGRAMA!$A:$A,0))),IFERROR(IF(INDEX(CARTEIRA!$E:$E,MATCH($A7,CARTEIRA!$A:$A,0))="","",INDEX(CARTEIRA!$E:$E,MATCH($A7,CARTEIRA!$A:$A,0))),""))</f>
        <v>SP</v>
      </c>
      <c r="E7" s="11" t="str">
        <f aca="false">IFERROR(IF(INDEX(CRONOGRAMA!$E:$E,MATCH($A7,CRONOGRAMA!$A:$A,0))="","",INDEX(CRONOGRAMA!$E:$E,MATCH($A7,CRONOGRAMA!$A:$A,0))),IFERROR(IF(INDEX(CARTEIRA!$D:$D,MATCH($A7,CARTEIRA!$A:$A,0))="","",INDEX(CARTEIRA!$D:$D,MATCH($A7,CARTEIRA!$A:$A,0))),""))</f>
        <v>SAO JOSE DOS CAMPOS</v>
      </c>
      <c r="F7" s="11" t="str">
        <f aca="false">IFERROR(IF(INDEX(CARTEIRA!$H:$H,MATCH($A7,CARTEIRA!$A:$A,0))="","",INDEX(CARTEIRA!$H:$H,MATCH($A7,CARTEIRA!$A:$A,0))),"")</f>
        <v>ALTA</v>
      </c>
      <c r="G7" s="11" t="str">
        <f aca="false">IFERROR(IF(INDEX(CRONOGRAMA!$G:$G,MATCH($A7,CRONOGRAMA!$A:$A,0))="","",INDEX(CRONOGRAMA!$G:$G,MATCH($A7,CRONOGRAMA!$A:$A,0))),IFERROR(IF(INDEX(CARTEIRA!$F:$F,MATCH($A7,CARTEIRA!$A:$A,0))="","",INDEX(CARTEIRA!$F:$F,MATCH($A7,CARTEIRA!$A:$A,0))),""))</f>
        <v>CONSTRUÇÃO</v>
      </c>
      <c r="H7" s="12" t="n">
        <f aca="false">IFERROR(IF(INDEX(CARTEIRA!$G:$G,MATCH($A7,CARTEIRA!$A:$A,0))="","",INDEX(CARTEIRA!$G:$G,MATCH($A7,CARTEIRA!$A:$A,0))),"")</f>
        <v>22800</v>
      </c>
      <c r="I7" s="13" t="n">
        <f aca="false">IFERROR(IF(INDEX(CARTEIRA!$I:$I,MATCH($A7,CARTEIRA!$A:$A,0))="","",INDEX(CARTEIRA!$I:$I,MATCH($A7,CARTEIRA!$A:$A,0))),"")</f>
        <v>46607</v>
      </c>
      <c r="J7" s="13" t="n">
        <f aca="false">IFERROR(IF(INDEX(CONTRATOS!$C:$C,MATCH($A7,CONTRATOS!$A:$A,0))="","",INDEX(CONTRATOS!$C:$C,MATCH($A7,CONTRATOS!$A:$A,0))),"")</f>
        <v>46680</v>
      </c>
      <c r="K7" s="13" t="n">
        <v>46771</v>
      </c>
      <c r="L7" s="13" t="n">
        <v>46816</v>
      </c>
      <c r="M7" s="13" t="n">
        <v>46836</v>
      </c>
      <c r="N7" s="13" t="n">
        <f aca="false">IFERROR(IF(INDEX(CRONOGRAMA!$H:$H,MATCH($A7,CRONOGRAMA!$A:$A,0))="","",INDEX(CRONOGRAMA!$H:$H,MATCH($A7,CRONOGRAMA!$A:$A,0))),IFERROR(IF(INDEX(CARTEIRA!$K:$K,MATCH($A7,CARTEIRA!$A:$A,0))="","",INDEX(CARTEIRA!$K:$K,MATCH($A7,CARTEIRA!$A:$A,0))),""))</f>
        <v>46846</v>
      </c>
      <c r="O7" s="13" t="n">
        <f aca="false">IFERROR(IF(INDEX(CRONOGRAMA!$I:$I,MATCH($A7,CRONOGRAMA!$A:$A,0))="","",INDEX(CRONOGRAMA!$I:$I,MATCH($A7,CRONOGRAMA!$A:$A,0))),IFERROR(IF(INDEX(CARTEIRA!$L:$L,MATCH($A7,CARTEIRA!$A:$A,0))="","",INDEX(CARTEIRA!$L:$L,MATCH($A7,CARTEIRA!$A:$A,0))),""))</f>
        <v>46966</v>
      </c>
      <c r="P7" s="14" t="n">
        <f aca="false">IFERROR(O7-N7,"")</f>
        <v>120</v>
      </c>
      <c r="Q7" s="13" t="n">
        <f aca="false">IFERROR(IF(INDEX(CRONOGRAMA!$J:$J,MATCH($A7,CRONOGRAMA!$A:$A,0))="","",INDEX(CRONOGRAMA!$J:$J,MATCH($A7,CRONOGRAMA!$A:$A,0))),IFERROR(IF(INDEX(CARTEIRA!$M:$M,MATCH($A7,CARTEIRA!$A:$A,0))="","",INDEX(CARTEIRA!$M:$M,MATCH($A7,CARTEIRA!$A:$A,0))),""))</f>
        <v>46980</v>
      </c>
      <c r="R7" s="4" t="s">
        <v>78</v>
      </c>
      <c r="S7" s="4" t="s">
        <v>79</v>
      </c>
      <c r="T7" s="11" t="str">
        <f aca="false">IFERROR(IF(INDEX(ETAPAS!$B:$B,MATCH($A7,ETAPAS!$A:$A,0))="","",INDEX(ETAPAS!$B:$B,MATCH($A7,ETAPAS!$A:$A,0))),"")</f>
        <v>9. VISTORIA</v>
      </c>
      <c r="U7" s="11"/>
    </row>
    <row r="8" customFormat="false" ht="15" hidden="false" customHeight="true" outlineLevel="0" collapsed="false">
      <c r="A8" s="10" t="s">
        <v>80</v>
      </c>
      <c r="B8" s="11" t="str">
        <f aca="false">IFERROR(IF(INDEX(CRONOGRAMA!$B:$B,MATCH($A8,CRONOGRAMA!$A:$A,0))="","",INDEX(CRONOGRAMA!$B:$B,MATCH($A8,CRONOGRAMA!$A:$A,0))),IFERROR(IF(INDEX(CARTEIRA!$B:$B,MATCH($A8,CARTEIRA!$A:$A,0))="","",INDEX(CARTEIRA!$B:$B,MATCH($A8,CARTEIRA!$A:$A,0))),""))</f>
        <v>GALPÃO PORTO SECO</v>
      </c>
      <c r="C8" s="11" t="str">
        <f aca="false">IFERROR(IF(INDEX(CRONOGRAMA!$C:$C,MATCH($A8,CRONOGRAMA!$A:$A,0))="","",INDEX(CRONOGRAMA!$C:$C,MATCH($A8,CRONOGRAMA!$A:$A,0))),IFERROR(IF(INDEX(CARTEIRA!$C:$C,MATCH($A8,CARTEIRA!$A:$A,0))="","",INDEX(CARTEIRA!$C:$C,MATCH($A8,CARTEIRA!$A:$A,0))),""))</f>
        <v>CLIENTE BOREAL</v>
      </c>
      <c r="D8" s="11" t="str">
        <f aca="false">IFERROR(IF(INDEX(CRONOGRAMA!$F:$F,MATCH($A8,CRONOGRAMA!$A:$A,0))="","",INDEX(CRONOGRAMA!$F:$F,MATCH($A8,CRONOGRAMA!$A:$A,0))),IFERROR(IF(INDEX(CARTEIRA!$E:$E,MATCH($A8,CARTEIRA!$A:$A,0))="","",INDEX(CARTEIRA!$E:$E,MATCH($A8,CARTEIRA!$A:$A,0))),""))</f>
        <v>SP</v>
      </c>
      <c r="E8" s="11" t="str">
        <f aca="false">IFERROR(IF(INDEX(CRONOGRAMA!$E:$E,MATCH($A8,CRONOGRAMA!$A:$A,0))="","",INDEX(CRONOGRAMA!$E:$E,MATCH($A8,CRONOGRAMA!$A:$A,0))),IFERROR(IF(INDEX(CARTEIRA!$D:$D,MATCH($A8,CARTEIRA!$A:$A,0))="","",INDEX(CARTEIRA!$D:$D,MATCH($A8,CARTEIRA!$A:$A,0))),""))</f>
        <v>SOROCABA</v>
      </c>
      <c r="F8" s="11" t="str">
        <f aca="false">IFERROR(IF(INDEX(CARTEIRA!$H:$H,MATCH($A8,CARTEIRA!$A:$A,0))="","",INDEX(CARTEIRA!$H:$H,MATCH($A8,CARTEIRA!$A:$A,0))),"")</f>
        <v>MÉDIA</v>
      </c>
      <c r="G8" s="11" t="str">
        <f aca="false">IFERROR(IF(INDEX(CRONOGRAMA!$G:$G,MATCH($A8,CRONOGRAMA!$A:$A,0))="","",INDEX(CRONOGRAMA!$G:$G,MATCH($A8,CRONOGRAMA!$A:$A,0))),IFERROR(IF(INDEX(CARTEIRA!$F:$F,MATCH($A8,CARTEIRA!$A:$A,0))="","",INDEX(CARTEIRA!$F:$F,MATCH($A8,CARTEIRA!$A:$A,0))),""))</f>
        <v>ADEQUAÇÃO</v>
      </c>
      <c r="H8" s="12" t="n">
        <f aca="false">IFERROR(IF(INDEX(CARTEIRA!$G:$G,MATCH($A8,CARTEIRA!$A:$A,0))="","",INDEX(CARTEIRA!$G:$G,MATCH($A8,CARTEIRA!$A:$A,0))),"")</f>
        <v>26500</v>
      </c>
      <c r="I8" s="13" t="n">
        <f aca="false">IFERROR(IF(INDEX(CARTEIRA!$I:$I,MATCH($A8,CARTEIRA!$A:$A,0))="","",INDEX(CARTEIRA!$I:$I,MATCH($A8,CARTEIRA!$A:$A,0))),"")</f>
        <v>46624</v>
      </c>
      <c r="J8" s="13" t="n">
        <f aca="false">IFERROR(IF(INDEX(CONTRATOS!$C:$C,MATCH($A8,CONTRATOS!$A:$A,0))="","",INDEX(CONTRATOS!$C:$C,MATCH($A8,CONTRATOS!$A:$A,0))),"")</f>
        <v>46691</v>
      </c>
      <c r="K8" s="13" t="n">
        <v>46664</v>
      </c>
      <c r="L8" s="13" t="n">
        <v>46709</v>
      </c>
      <c r="M8" s="13"/>
      <c r="N8" s="13" t="n">
        <f aca="false">IFERROR(IF(INDEX(CRONOGRAMA!$H:$H,MATCH($A8,CRONOGRAMA!$A:$A,0))="","",INDEX(CRONOGRAMA!$H:$H,MATCH($A8,CRONOGRAMA!$A:$A,0))),IFERROR(IF(INDEX(CARTEIRA!$K:$K,MATCH($A8,CARTEIRA!$A:$A,0))="","",INDEX(CARTEIRA!$K:$K,MATCH($A8,CARTEIRA!$A:$A,0))),""))</f>
        <v>46739</v>
      </c>
      <c r="O8" s="13" t="n">
        <f aca="false">IFERROR(IF(INDEX(CRONOGRAMA!$I:$I,MATCH($A8,CRONOGRAMA!$A:$A,0))="","",INDEX(CRONOGRAMA!$I:$I,MATCH($A8,CRONOGRAMA!$A:$A,0))),IFERROR(IF(INDEX(CARTEIRA!$L:$L,MATCH($A8,CARTEIRA!$A:$A,0))="","",INDEX(CARTEIRA!$L:$L,MATCH($A8,CARTEIRA!$A:$A,0))),""))</f>
        <v>46864</v>
      </c>
      <c r="P8" s="14" t="n">
        <f aca="false">IFERROR(O8-N8,"")</f>
        <v>125</v>
      </c>
      <c r="Q8" s="13" t="n">
        <f aca="false">IFERROR(IF(INDEX(CRONOGRAMA!$J:$J,MATCH($A8,CRONOGRAMA!$A:$A,0))="","",INDEX(CRONOGRAMA!$J:$J,MATCH($A8,CRONOGRAMA!$A:$A,0))),IFERROR(IF(INDEX(CARTEIRA!$M:$M,MATCH($A8,CARTEIRA!$A:$A,0))="","",INDEX(CARTEIRA!$M:$M,MATCH($A8,CARTEIRA!$A:$A,0))),""))</f>
        <v>46876</v>
      </c>
      <c r="R8" s="4" t="s">
        <v>81</v>
      </c>
      <c r="S8" s="4" t="s">
        <v>82</v>
      </c>
      <c r="T8" s="11" t="str">
        <f aca="false">IFERROR(IF(INDEX(ETAPAS!$B:$B,MATCH($A8,ETAPAS!$A:$A,0))="","",INDEX(ETAPAS!$B:$B,MATCH($A8,ETAPAS!$A:$A,0))),"")</f>
        <v>2. TERRAPLENAGEM</v>
      </c>
      <c r="U8" s="11"/>
    </row>
    <row r="9" customFormat="false" ht="15" hidden="false" customHeight="true" outlineLevel="0" collapsed="false">
      <c r="A9" s="10" t="s">
        <v>83</v>
      </c>
      <c r="B9" s="11" t="str">
        <f aca="false">IFERROR(IF(INDEX(CRONOGRAMA!$B:$B,MATCH($A9,CRONOGRAMA!$A:$A,0))="","",INDEX(CRONOGRAMA!$B:$B,MATCH($A9,CRONOGRAMA!$A:$A,0))),IFERROR(IF(INDEX(CARTEIRA!$B:$B,MATCH($A9,CARTEIRA!$A:$A,0))="","",INDEX(CARTEIRA!$B:$B,MATCH($A9,CARTEIRA!$A:$A,0))),""))</f>
        <v>ARMAZÉM FRIGORIFICADO OESTE</v>
      </c>
      <c r="C9" s="11" t="str">
        <f aca="false">IFERROR(IF(INDEX(CRONOGRAMA!$C:$C,MATCH($A9,CRONOGRAMA!$A:$A,0))="","",INDEX(CRONOGRAMA!$C:$C,MATCH($A9,CRONOGRAMA!$A:$A,0))),IFERROR(IF(INDEX(CARTEIRA!$C:$C,MATCH($A9,CARTEIRA!$A:$A,0))="","",INDEX(CARTEIRA!$C:$C,MATCH($A9,CARTEIRA!$A:$A,0))),""))</f>
        <v>CLIENTE CRUZEIRO</v>
      </c>
      <c r="D9" s="11" t="str">
        <f aca="false">IFERROR(IF(INDEX(CRONOGRAMA!$F:$F,MATCH($A9,CRONOGRAMA!$A:$A,0))="","",INDEX(CRONOGRAMA!$F:$F,MATCH($A9,CRONOGRAMA!$A:$A,0))),IFERROR(IF(INDEX(CARTEIRA!$E:$E,MATCH($A9,CARTEIRA!$A:$A,0))="","",INDEX(CARTEIRA!$E:$E,MATCH($A9,CARTEIRA!$A:$A,0))),""))</f>
        <v>PR</v>
      </c>
      <c r="E9" s="11" t="str">
        <f aca="false">IFERROR(IF(INDEX(CRONOGRAMA!$E:$E,MATCH($A9,CRONOGRAMA!$A:$A,0))="","",INDEX(CRONOGRAMA!$E:$E,MATCH($A9,CRONOGRAMA!$A:$A,0))),IFERROR(IF(INDEX(CARTEIRA!$D:$D,MATCH($A9,CARTEIRA!$A:$A,0))="","",INDEX(CARTEIRA!$D:$D,MATCH($A9,CARTEIRA!$A:$A,0))),""))</f>
        <v>CURITIBA</v>
      </c>
      <c r="F9" s="11" t="str">
        <f aca="false">IFERROR(IF(INDEX(CARTEIRA!$H:$H,MATCH($A9,CARTEIRA!$A:$A,0))="","",INDEX(CARTEIRA!$H:$H,MATCH($A9,CARTEIRA!$A:$A,0))),"")</f>
        <v>BAIXA</v>
      </c>
      <c r="G9" s="11" t="str">
        <f aca="false">IFERROR(IF(INDEX(CRONOGRAMA!$G:$G,MATCH($A9,CRONOGRAMA!$A:$A,0))="","",INDEX(CRONOGRAMA!$G:$G,MATCH($A9,CRONOGRAMA!$A:$A,0))),IFERROR(IF(INDEX(CARTEIRA!$F:$F,MATCH($A9,CARTEIRA!$A:$A,0))="","",INDEX(CARTEIRA!$F:$F,MATCH($A9,CARTEIRA!$A:$A,0))),""))</f>
        <v>CONSTRUÇÃO</v>
      </c>
      <c r="H9" s="12" t="n">
        <f aca="false">IFERROR(IF(INDEX(CARTEIRA!$G:$G,MATCH($A9,CARTEIRA!$A:$A,0))="","",INDEX(CARTEIRA!$G:$G,MATCH($A9,CARTEIRA!$A:$A,0))),"")</f>
        <v>30200</v>
      </c>
      <c r="I9" s="13" t="n">
        <f aca="false">IFERROR(IF(INDEX(CARTEIRA!$I:$I,MATCH($A9,CARTEIRA!$A:$A,0))="","",INDEX(CARTEIRA!$I:$I,MATCH($A9,CARTEIRA!$A:$A,0))),"")</f>
        <v>46641</v>
      </c>
      <c r="J9" s="13" t="n">
        <f aca="false">IFERROR(IF(INDEX(CONTRATOS!$C:$C,MATCH($A9,CONTRATOS!$A:$A,0))="","",INDEX(CONTRATOS!$C:$C,MATCH($A9,CONTRATOS!$A:$A,0))),"")</f>
        <v>46702</v>
      </c>
      <c r="K9" s="13" t="n">
        <v>46785</v>
      </c>
      <c r="L9" s="13"/>
      <c r="M9" s="13" t="n">
        <v>46850</v>
      </c>
      <c r="N9" s="13" t="n">
        <f aca="false">IFERROR(IF(INDEX(CRONOGRAMA!$H:$H,MATCH($A9,CRONOGRAMA!$A:$A,0))="","",INDEX(CRONOGRAMA!$H:$H,MATCH($A9,CRONOGRAMA!$A:$A,0))),IFERROR(IF(INDEX(CARTEIRA!$K:$K,MATCH($A9,CARTEIRA!$A:$A,0))="","",INDEX(CARTEIRA!$K:$K,MATCH($A9,CARTEIRA!$A:$A,0))),""))</f>
        <v>46860</v>
      </c>
      <c r="O9" s="13" t="n">
        <f aca="false">IFERROR(IF(INDEX(CRONOGRAMA!$I:$I,MATCH($A9,CRONOGRAMA!$A:$A,0))="","",INDEX(CRONOGRAMA!$I:$I,MATCH($A9,CRONOGRAMA!$A:$A,0))),IFERROR(IF(INDEX(CARTEIRA!$L:$L,MATCH($A9,CARTEIRA!$A:$A,0))="","",INDEX(CARTEIRA!$L:$L,MATCH($A9,CARTEIRA!$A:$A,0))),""))</f>
        <v>47000</v>
      </c>
      <c r="P9" s="14" t="n">
        <f aca="false">IFERROR(O9-N9,"")</f>
        <v>140</v>
      </c>
      <c r="Q9" s="13" t="n">
        <f aca="false">IFERROR(IF(INDEX(CRONOGRAMA!$J:$J,MATCH($A9,CRONOGRAMA!$A:$A,0))="","",INDEX(CRONOGRAMA!$J:$J,MATCH($A9,CRONOGRAMA!$A:$A,0))),IFERROR(IF(INDEX(CARTEIRA!$M:$M,MATCH($A9,CARTEIRA!$A:$A,0))="","",INDEX(CARTEIRA!$M:$M,MATCH($A9,CARTEIRA!$A:$A,0))),""))</f>
        <v>47014</v>
      </c>
      <c r="R9" s="4" t="s">
        <v>84</v>
      </c>
      <c r="S9" s="4" t="s">
        <v>85</v>
      </c>
      <c r="T9" s="11" t="str">
        <f aca="false">IFERROR(IF(INDEX(ETAPAS!$B:$B,MATCH($A9,ETAPAS!$A:$A,0))="","",INDEX(ETAPAS!$B:$B,MATCH($A9,ETAPAS!$A:$A,0))),"")</f>
        <v>4. ESTRUTURA METÁLICA</v>
      </c>
      <c r="U9" s="11"/>
    </row>
    <row r="10" customFormat="false" ht="15" hidden="false" customHeight="true" outlineLevel="0" collapsed="false">
      <c r="A10" s="10" t="s">
        <v>86</v>
      </c>
      <c r="B10" s="11" t="str">
        <f aca="false">IFERROR(IF(INDEX(CRONOGRAMA!$B:$B,MATCH($A10,CRONOGRAMA!$A:$A,0))="","",INDEX(CRONOGRAMA!$B:$B,MATCH($A10,CRONOGRAMA!$A:$A,0))),IFERROR(IF(INDEX(CARTEIRA!$B:$B,MATCH($A10,CARTEIRA!$A:$A,0))="","",INDEX(CARTEIRA!$B:$B,MATCH($A10,CARTEIRA!$A:$A,0))),""))</f>
        <v>GALPÃO ANEL VIÁRIO</v>
      </c>
      <c r="C10" s="11" t="str">
        <f aca="false">IFERROR(IF(INDEX(CRONOGRAMA!$C:$C,MATCH($A10,CRONOGRAMA!$A:$A,0))="","",INDEX(CRONOGRAMA!$C:$C,MATCH($A10,CRONOGRAMA!$A:$A,0))),IFERROR(IF(INDEX(CARTEIRA!$C:$C,MATCH($A10,CARTEIRA!$A:$A,0))="","",INDEX(CARTEIRA!$C:$C,MATCH($A10,CARTEIRA!$A:$A,0))),""))</f>
        <v>CLIENTE DELTA</v>
      </c>
      <c r="D10" s="11" t="str">
        <f aca="false">IFERROR(IF(INDEX(CRONOGRAMA!$F:$F,MATCH($A10,CRONOGRAMA!$A:$A,0))="","",INDEX(CRONOGRAMA!$F:$F,MATCH($A10,CRONOGRAMA!$A:$A,0))),IFERROR(IF(INDEX(CARTEIRA!$E:$E,MATCH($A10,CARTEIRA!$A:$A,0))="","",INDEX(CARTEIRA!$E:$E,MATCH($A10,CARTEIRA!$A:$A,0))),""))</f>
        <v>MG</v>
      </c>
      <c r="E10" s="11" t="str">
        <f aca="false">IFERROR(IF(INDEX(CRONOGRAMA!$E:$E,MATCH($A10,CRONOGRAMA!$A:$A,0))="","",INDEX(CRONOGRAMA!$E:$E,MATCH($A10,CRONOGRAMA!$A:$A,0))),IFERROR(IF(INDEX(CARTEIRA!$D:$D,MATCH($A10,CARTEIRA!$A:$A,0))="","",INDEX(CARTEIRA!$D:$D,MATCH($A10,CARTEIRA!$A:$A,0))),""))</f>
        <v>BELO HORIZONTE</v>
      </c>
      <c r="F10" s="11" t="str">
        <f aca="false">IFERROR(IF(INDEX(CARTEIRA!$H:$H,MATCH($A10,CARTEIRA!$A:$A,0))="","",INDEX(CARTEIRA!$H:$H,MATCH($A10,CARTEIRA!$A:$A,0))),"")</f>
        <v>MÉDIA</v>
      </c>
      <c r="G10" s="11" t="str">
        <f aca="false">IFERROR(IF(INDEX(CRONOGRAMA!$G:$G,MATCH($A10,CRONOGRAMA!$A:$A,0))="","",INDEX(CRONOGRAMA!$G:$G,MATCH($A10,CRONOGRAMA!$A:$A,0))),IFERROR(IF(INDEX(CARTEIRA!$F:$F,MATCH($A10,CARTEIRA!$A:$A,0))="","",INDEX(CARTEIRA!$F:$F,MATCH($A10,CARTEIRA!$A:$A,0))),""))</f>
        <v>CONSTRUÇÃO</v>
      </c>
      <c r="H10" s="12" t="n">
        <f aca="false">IFERROR(IF(INDEX(CARTEIRA!$G:$G,MATCH($A10,CARTEIRA!$A:$A,0))="","",INDEX(CARTEIRA!$G:$G,MATCH($A10,CARTEIRA!$A:$A,0))),"")</f>
        <v>33900</v>
      </c>
      <c r="I10" s="13" t="n">
        <f aca="false">IFERROR(IF(INDEX(CARTEIRA!$I:$I,MATCH($A10,CARTEIRA!$A:$A,0))="","",INDEX(CARTEIRA!$I:$I,MATCH($A10,CARTEIRA!$A:$A,0))),"")</f>
        <v>46658</v>
      </c>
      <c r="J10" s="13" t="n">
        <f aca="false">IFERROR(IF(INDEX(CONTRATOS!$C:$C,MATCH($A10,CONTRATOS!$A:$A,0))="","",INDEX(CONTRATOS!$C:$C,MATCH($A10,CONTRATOS!$A:$A,0))),"")</f>
        <v>46713</v>
      </c>
      <c r="K10" s="13" t="n">
        <v>46792</v>
      </c>
      <c r="L10" s="13" t="n">
        <v>46837</v>
      </c>
      <c r="M10" s="13"/>
      <c r="N10" s="13" t="n">
        <f aca="false">IFERROR(IF(INDEX(CRONOGRAMA!$H:$H,MATCH($A10,CRONOGRAMA!$A:$A,0))="","",INDEX(CRONOGRAMA!$H:$H,MATCH($A10,CRONOGRAMA!$A:$A,0))),IFERROR(IF(INDEX(CARTEIRA!$K:$K,MATCH($A10,CARTEIRA!$A:$A,0))="","",INDEX(CARTEIRA!$K:$K,MATCH($A10,CARTEIRA!$A:$A,0))),""))</f>
        <v>46867</v>
      </c>
      <c r="O10" s="13" t="n">
        <f aca="false">IFERROR(IF(INDEX(CRONOGRAMA!$I:$I,MATCH($A10,CRONOGRAMA!$A:$A,0))="","",INDEX(CRONOGRAMA!$I:$I,MATCH($A10,CRONOGRAMA!$A:$A,0))),IFERROR(IF(INDEX(CARTEIRA!$L:$L,MATCH($A10,CARTEIRA!$A:$A,0))="","",INDEX(CARTEIRA!$L:$L,MATCH($A10,CARTEIRA!$A:$A,0))),""))</f>
        <v>47017</v>
      </c>
      <c r="P10" s="14" t="n">
        <f aca="false">IFERROR(O10-N10,"")</f>
        <v>150</v>
      </c>
      <c r="Q10" s="13" t="n">
        <f aca="false">IFERROR(IF(INDEX(CRONOGRAMA!$J:$J,MATCH($A10,CRONOGRAMA!$A:$A,0))="","",INDEX(CRONOGRAMA!$J:$J,MATCH($A10,CRONOGRAMA!$A:$A,0))),IFERROR(IF(INDEX(CARTEIRA!$M:$M,MATCH($A10,CARTEIRA!$A:$A,0))="","",INDEX(CARTEIRA!$M:$M,MATCH($A10,CARTEIRA!$A:$A,0))),""))</f>
        <v>47031</v>
      </c>
      <c r="R10" s="4" t="s">
        <v>87</v>
      </c>
      <c r="S10" s="4" t="s">
        <v>88</v>
      </c>
      <c r="T10" s="11" t="str">
        <f aca="false">IFERROR(IF(INDEX(ETAPAS!$B:$B,MATCH($A10,ETAPAS!$A:$A,0))="","",INDEX(ETAPAS!$B:$B,MATCH($A10,ETAPAS!$A:$A,0))),"")</f>
        <v>6. PISO INDUSTRIAL</v>
      </c>
      <c r="U10" s="11"/>
    </row>
    <row r="11" customFormat="false" ht="15" hidden="false" customHeight="true" outlineLevel="0" collapsed="false">
      <c r="A11" s="10" t="s">
        <v>89</v>
      </c>
      <c r="B11" s="11" t="str">
        <f aca="false">IFERROR(IF(INDEX(CRONOGRAMA!$B:$B,MATCH($A11,CRONOGRAMA!$A:$A,0))="","",INDEX(CRONOGRAMA!$B:$B,MATCH($A11,CRONOGRAMA!$A:$A,0))),IFERROR(IF(INDEX(CARTEIRA!$B:$B,MATCH($A11,CARTEIRA!$A:$A,0))="","",INDEX(CARTEIRA!$B:$B,MATCH($A11,CARTEIRA!$A:$A,0))),""))</f>
        <v>CD MARGINAL</v>
      </c>
      <c r="C11" s="11" t="str">
        <f aca="false">IFERROR(IF(INDEX(CRONOGRAMA!$C:$C,MATCH($A11,CRONOGRAMA!$A:$A,0))="","",INDEX(CRONOGRAMA!$C:$C,MATCH($A11,CRONOGRAMA!$A:$A,0))),IFERROR(IF(INDEX(CARTEIRA!$C:$C,MATCH($A11,CARTEIRA!$A:$A,0))="","",INDEX(CARTEIRA!$C:$C,MATCH($A11,CARTEIRA!$A:$A,0))),""))</f>
        <v>CLIENTE ATLAS</v>
      </c>
      <c r="D11" s="11" t="str">
        <f aca="false">IFERROR(IF(INDEX(CRONOGRAMA!$F:$F,MATCH($A11,CRONOGRAMA!$A:$A,0))="","",INDEX(CRONOGRAMA!$F:$F,MATCH($A11,CRONOGRAMA!$A:$A,0))),IFERROR(IF(INDEX(CARTEIRA!$E:$E,MATCH($A11,CARTEIRA!$A:$A,0))="","",INDEX(CARTEIRA!$E:$E,MATCH($A11,CARTEIRA!$A:$A,0))),""))</f>
        <v>PE</v>
      </c>
      <c r="E11" s="11" t="str">
        <f aca="false">IFERROR(IF(INDEX(CRONOGRAMA!$E:$E,MATCH($A11,CRONOGRAMA!$A:$A,0))="","",INDEX(CRONOGRAMA!$E:$E,MATCH($A11,CRONOGRAMA!$A:$A,0))),IFERROR(IF(INDEX(CARTEIRA!$D:$D,MATCH($A11,CARTEIRA!$A:$A,0))="","",INDEX(CARTEIRA!$D:$D,MATCH($A11,CARTEIRA!$A:$A,0))),""))</f>
        <v>RECIFE</v>
      </c>
      <c r="F11" s="11" t="str">
        <f aca="false">IFERROR(IF(INDEX(CARTEIRA!$H:$H,MATCH($A11,CARTEIRA!$A:$A,0))="","",INDEX(CARTEIRA!$H:$H,MATCH($A11,CARTEIRA!$A:$A,0))),"")</f>
        <v>ALTA</v>
      </c>
      <c r="G11" s="11" t="str">
        <f aca="false">IFERROR(IF(INDEX(CRONOGRAMA!$G:$G,MATCH($A11,CRONOGRAMA!$A:$A,0))="","",INDEX(CRONOGRAMA!$G:$G,MATCH($A11,CRONOGRAMA!$A:$A,0))),IFERROR(IF(INDEX(CARTEIRA!$F:$F,MATCH($A11,CARTEIRA!$A:$A,0))="","",INDEX(CARTEIRA!$F:$F,MATCH($A11,CARTEIRA!$A:$A,0))),""))</f>
        <v>AMPLIAÇÃO</v>
      </c>
      <c r="H11" s="12" t="n">
        <f aca="false">IFERROR(IF(INDEX(CARTEIRA!$G:$G,MATCH($A11,CARTEIRA!$A:$A,0))="","",INDEX(CARTEIRA!$G:$G,MATCH($A11,CARTEIRA!$A:$A,0))),"")</f>
        <v>37600</v>
      </c>
      <c r="I11" s="13" t="n">
        <f aca="false">IFERROR(IF(INDEX(CARTEIRA!$I:$I,MATCH($A11,CARTEIRA!$A:$A,0))="","",INDEX(CARTEIRA!$I:$I,MATCH($A11,CARTEIRA!$A:$A,0))),"")</f>
        <v>46675</v>
      </c>
      <c r="J11" s="13" t="n">
        <f aca="false">IFERROR(IF(INDEX(CONTRATOS!$C:$C,MATCH($A11,CONTRATOS!$A:$A,0))="","",INDEX(CONTRATOS!$C:$C,MATCH($A11,CONTRATOS!$A:$A,0))),"")</f>
        <v>46724</v>
      </c>
      <c r="K11" s="13" t="n">
        <v>46799</v>
      </c>
      <c r="L11" s="13" t="n">
        <v>46844</v>
      </c>
      <c r="M11" s="13" t="n">
        <v>46864</v>
      </c>
      <c r="N11" s="13" t="n">
        <f aca="false">IFERROR(IF(INDEX(CRONOGRAMA!$H:$H,MATCH($A11,CRONOGRAMA!$A:$A,0))="","",INDEX(CRONOGRAMA!$H:$H,MATCH($A11,CRONOGRAMA!$A:$A,0))),IFERROR(IF(INDEX(CARTEIRA!$K:$K,MATCH($A11,CARTEIRA!$A:$A,0))="","",INDEX(CARTEIRA!$K:$K,MATCH($A11,CARTEIRA!$A:$A,0))),""))</f>
        <v>46874</v>
      </c>
      <c r="O11" s="13" t="n">
        <f aca="false">IFERROR(IF(INDEX(CRONOGRAMA!$I:$I,MATCH($A11,CRONOGRAMA!$A:$A,0))="","",INDEX(CRONOGRAMA!$I:$I,MATCH($A11,CRONOGRAMA!$A:$A,0))),IFERROR(IF(INDEX(CARTEIRA!$L:$L,MATCH($A11,CARTEIRA!$A:$A,0))="","",INDEX(CARTEIRA!$L:$L,MATCH($A11,CARTEIRA!$A:$A,0))),""))</f>
        <v>46994</v>
      </c>
      <c r="P11" s="14" t="n">
        <f aca="false">IFERROR(O11-N11,"")</f>
        <v>120</v>
      </c>
      <c r="Q11" s="13" t="n">
        <f aca="false">IFERROR(IF(INDEX(CRONOGRAMA!$J:$J,MATCH($A11,CRONOGRAMA!$A:$A,0))="","",INDEX(CRONOGRAMA!$J:$J,MATCH($A11,CRONOGRAMA!$A:$A,0))),IFERROR(IF(INDEX(CARTEIRA!$M:$M,MATCH($A11,CARTEIRA!$A:$A,0))="","",INDEX(CARTEIRA!$M:$M,MATCH($A11,CARTEIRA!$A:$A,0))),""))</f>
        <v>47008</v>
      </c>
      <c r="R11" s="4" t="s">
        <v>90</v>
      </c>
      <c r="S11" s="4" t="s">
        <v>91</v>
      </c>
      <c r="T11" s="11" t="str">
        <f aca="false">IFERROR(IF(INDEX(ETAPAS!$B:$B,MATCH($A11,ETAPAS!$A:$A,0))="","",INDEX(ETAPAS!$B:$B,MATCH($A11,ETAPAS!$A:$A,0))),"")</f>
        <v>8. ACABAMENTO</v>
      </c>
      <c r="U11" s="11"/>
    </row>
    <row r="12" customFormat="false" ht="15" hidden="false" customHeight="true" outlineLevel="0" collapsed="false">
      <c r="A12" s="10" t="s">
        <v>92</v>
      </c>
      <c r="B12" s="11" t="str">
        <f aca="false">IFERROR(IF(INDEX(CRONOGRAMA!$B:$B,MATCH($A12,CRONOGRAMA!$A:$A,0))="","",INDEX(CRONOGRAMA!$B:$B,MATCH($A12,CRONOGRAMA!$A:$A,0))),IFERROR(IF(INDEX(CARTEIRA!$B:$B,MATCH($A12,CARTEIRA!$A:$A,0))="","",INDEX(CARTEIRA!$B:$B,MATCH($A12,CARTEIRA!$A:$A,0))),""))</f>
        <v>GALPÃO PARQUE INDUSTRIAL</v>
      </c>
      <c r="C12" s="11" t="str">
        <f aca="false">IFERROR(IF(INDEX(CRONOGRAMA!$C:$C,MATCH($A12,CRONOGRAMA!$A:$A,0))="","",INDEX(CRONOGRAMA!$C:$C,MATCH($A12,CRONOGRAMA!$A:$A,0))),IFERROR(IF(INDEX(CARTEIRA!$C:$C,MATCH($A12,CARTEIRA!$A:$A,0))="","",INDEX(CARTEIRA!$C:$C,MATCH($A12,CARTEIRA!$A:$A,0))),""))</f>
        <v>CLIENTE BOREAL</v>
      </c>
      <c r="D12" s="11" t="str">
        <f aca="false">IFERROR(IF(INDEX(CRONOGRAMA!$F:$F,MATCH($A12,CRONOGRAMA!$A:$A,0))="","",INDEX(CRONOGRAMA!$F:$F,MATCH($A12,CRONOGRAMA!$A:$A,0))),IFERROR(IF(INDEX(CARTEIRA!$E:$E,MATCH($A12,CARTEIRA!$A:$A,0))="","",INDEX(CARTEIRA!$E:$E,MATCH($A12,CARTEIRA!$A:$A,0))),""))</f>
        <v>RJ</v>
      </c>
      <c r="E12" s="11" t="str">
        <f aca="false">IFERROR(IF(INDEX(CRONOGRAMA!$E:$E,MATCH($A12,CRONOGRAMA!$A:$A,0))="","",INDEX(CRONOGRAMA!$E:$E,MATCH($A12,CRONOGRAMA!$A:$A,0))),IFERROR(IF(INDEX(CARTEIRA!$D:$D,MATCH($A12,CARTEIRA!$A:$A,0))="","",INDEX(CARTEIRA!$D:$D,MATCH($A12,CARTEIRA!$A:$A,0))),""))</f>
        <v>RIO DE JANEIRO</v>
      </c>
      <c r="F12" s="11" t="str">
        <f aca="false">IFERROR(IF(INDEX(CARTEIRA!$H:$H,MATCH($A12,CARTEIRA!$A:$A,0))="","",INDEX(CARTEIRA!$H:$H,MATCH($A12,CARTEIRA!$A:$A,0))),"")</f>
        <v>MÉDIA</v>
      </c>
      <c r="G12" s="11" t="str">
        <f aca="false">IFERROR(IF(INDEX(CRONOGRAMA!$G:$G,MATCH($A12,CRONOGRAMA!$A:$A,0))="","",INDEX(CRONOGRAMA!$G:$G,MATCH($A12,CRONOGRAMA!$A:$A,0))),IFERROR(IF(INDEX(CARTEIRA!$F:$F,MATCH($A12,CARTEIRA!$A:$A,0))="","",INDEX(CARTEIRA!$F:$F,MATCH($A12,CARTEIRA!$A:$A,0))),""))</f>
        <v>RETROFIT</v>
      </c>
      <c r="H12" s="12" t="n">
        <f aca="false">IFERROR(IF(INDEX(CARTEIRA!$G:$G,MATCH($A12,CARTEIRA!$A:$A,0))="","",INDEX(CARTEIRA!$G:$G,MATCH($A12,CARTEIRA!$A:$A,0))),"")</f>
        <v>41300</v>
      </c>
      <c r="I12" s="13" t="n">
        <f aca="false">IFERROR(IF(INDEX(CARTEIRA!$I:$I,MATCH($A12,CARTEIRA!$A:$A,0))="","",INDEX(CARTEIRA!$I:$I,MATCH($A12,CARTEIRA!$A:$A,0))),"")</f>
        <v>46692</v>
      </c>
      <c r="J12" s="13" t="n">
        <f aca="false">IFERROR(IF(INDEX(CONTRATOS!$C:$C,MATCH($A12,CONTRATOS!$A:$A,0))="","",INDEX(CONTRATOS!$C:$C,MATCH($A12,CONTRATOS!$A:$A,0))),"")</f>
        <v>46735</v>
      </c>
      <c r="K12" s="13" t="n">
        <v>46806</v>
      </c>
      <c r="L12" s="13"/>
      <c r="M12" s="13"/>
      <c r="N12" s="13" t="n">
        <f aca="false">IFERROR(IF(INDEX(CRONOGRAMA!$H:$H,MATCH($A12,CRONOGRAMA!$A:$A,0))="","",INDEX(CRONOGRAMA!$H:$H,MATCH($A12,CRONOGRAMA!$A:$A,0))),IFERROR(IF(INDEX(CARTEIRA!$K:$K,MATCH($A12,CARTEIRA!$A:$A,0))="","",INDEX(CARTEIRA!$K:$K,MATCH($A12,CARTEIRA!$A:$A,0))),""))</f>
        <v>46881</v>
      </c>
      <c r="O12" s="13" t="n">
        <f aca="false">IFERROR(IF(INDEX(CRONOGRAMA!$I:$I,MATCH($A12,CRONOGRAMA!$A:$A,0))="","",INDEX(CRONOGRAMA!$I:$I,MATCH($A12,CRONOGRAMA!$A:$A,0))),IFERROR(IF(INDEX(CARTEIRA!$L:$L,MATCH($A12,CARTEIRA!$A:$A,0))="","",INDEX(CARTEIRA!$L:$L,MATCH($A12,CARTEIRA!$A:$A,0))),""))</f>
        <v>47011</v>
      </c>
      <c r="P12" s="14" t="n">
        <f aca="false">IFERROR(O12-N12,"")</f>
        <v>130</v>
      </c>
      <c r="Q12" s="13" t="n">
        <f aca="false">IFERROR(IF(INDEX(CRONOGRAMA!$J:$J,MATCH($A12,CRONOGRAMA!$A:$A,0))="","",INDEX(CRONOGRAMA!$J:$J,MATCH($A12,CRONOGRAMA!$A:$A,0))),IFERROR(IF(INDEX(CARTEIRA!$M:$M,MATCH($A12,CARTEIRA!$A:$A,0))="","",INDEX(CARTEIRA!$M:$M,MATCH($A12,CARTEIRA!$A:$A,0))),""))</f>
        <v>47025</v>
      </c>
      <c r="R12" s="4" t="s">
        <v>93</v>
      </c>
      <c r="S12" s="4" t="s">
        <v>94</v>
      </c>
      <c r="T12" s="11" t="str">
        <f aca="false">IFERROR(IF(INDEX(ETAPAS!$B:$B,MATCH($A12,ETAPAS!$A:$A,0))="","",INDEX(ETAPAS!$B:$B,MATCH($A12,ETAPAS!$A:$A,0))),"")</f>
        <v>1. MOBILIZAÇÃO</v>
      </c>
      <c r="U12" s="11"/>
    </row>
    <row r="13" customFormat="false" ht="15" hidden="false" customHeight="true" outlineLevel="0" collapsed="false">
      <c r="A13" s="10" t="s">
        <v>95</v>
      </c>
      <c r="B13" s="11" t="str">
        <f aca="false">IFERROR(IF(INDEX(CRONOGRAMA!$B:$B,MATCH($A13,CRONOGRAMA!$A:$A,0))="","",INDEX(CRONOGRAMA!$B:$B,MATCH($A13,CRONOGRAMA!$A:$A,0))),IFERROR(IF(INDEX(CARTEIRA!$B:$B,MATCH($A13,CARTEIRA!$A:$A,0))="","",INDEX(CARTEIRA!$B:$B,MATCH($A13,CARTEIRA!$A:$A,0))),""))</f>
        <v>HUB CENTRO</v>
      </c>
      <c r="C13" s="11" t="str">
        <f aca="false">IFERROR(IF(INDEX(CRONOGRAMA!$C:$C,MATCH($A13,CRONOGRAMA!$A:$A,0))="","",INDEX(CRONOGRAMA!$C:$C,MATCH($A13,CRONOGRAMA!$A:$A,0))),IFERROR(IF(INDEX(CARTEIRA!$C:$C,MATCH($A13,CARTEIRA!$A:$A,0))="","",INDEX(CARTEIRA!$C:$C,MATCH($A13,CARTEIRA!$A:$A,0))),""))</f>
        <v>CLIENTE CRUZEIRO</v>
      </c>
      <c r="D13" s="11" t="str">
        <f aca="false">IFERROR(IF(INDEX(CRONOGRAMA!$F:$F,MATCH($A13,CRONOGRAMA!$A:$A,0))="","",INDEX(CRONOGRAMA!$F:$F,MATCH($A13,CRONOGRAMA!$A:$A,0))),IFERROR(IF(INDEX(CARTEIRA!$E:$E,MATCH($A13,CARTEIRA!$A:$A,0))="","",INDEX(CARTEIRA!$E:$E,MATCH($A13,CARTEIRA!$A:$A,0))),""))</f>
        <v>SP</v>
      </c>
      <c r="E13" s="11" t="str">
        <f aca="false">IFERROR(IF(INDEX(CRONOGRAMA!$E:$E,MATCH($A13,CRONOGRAMA!$A:$A,0))="","",INDEX(CRONOGRAMA!$E:$E,MATCH($A13,CRONOGRAMA!$A:$A,0))),IFERROR(IF(INDEX(CARTEIRA!$D:$D,MATCH($A13,CARTEIRA!$A:$A,0))="","",INDEX(CARTEIRA!$D:$D,MATCH($A13,CARTEIRA!$A:$A,0))),""))</f>
        <v>SAO PAULO</v>
      </c>
      <c r="F13" s="11" t="str">
        <f aca="false">IFERROR(IF(INDEX(CARTEIRA!$H:$H,MATCH($A13,CARTEIRA!$A:$A,0))="","",INDEX(CARTEIRA!$H:$H,MATCH($A13,CARTEIRA!$A:$A,0))),"")</f>
        <v>BAIXA</v>
      </c>
      <c r="G13" s="11" t="str">
        <f aca="false">IFERROR(IF(INDEX(CRONOGRAMA!$G:$G,MATCH($A13,CRONOGRAMA!$A:$A,0))="","",INDEX(CRONOGRAMA!$G:$G,MATCH($A13,CRONOGRAMA!$A:$A,0))),IFERROR(IF(INDEX(CARTEIRA!$F:$F,MATCH($A13,CARTEIRA!$A:$A,0))="","",INDEX(CARTEIRA!$F:$F,MATCH($A13,CARTEIRA!$A:$A,0))),""))</f>
        <v>CONSTRUÇÃO</v>
      </c>
      <c r="H13" s="12" t="n">
        <f aca="false">IFERROR(IF(INDEX(CARTEIRA!$G:$G,MATCH($A13,CARTEIRA!$A:$A,0))="","",INDEX(CARTEIRA!$G:$G,MATCH($A13,CARTEIRA!$A:$A,0))),"")</f>
        <v>45000</v>
      </c>
      <c r="I13" s="13" t="n">
        <f aca="false">IFERROR(IF(INDEX(CARTEIRA!$I:$I,MATCH($A13,CARTEIRA!$A:$A,0))="","",INDEX(CARTEIRA!$I:$I,MATCH($A13,CARTEIRA!$A:$A,0))),"")</f>
        <v>46709</v>
      </c>
      <c r="J13" s="13" t="n">
        <f aca="false">IFERROR(IF(INDEX(CONTRATOS!$C:$C,MATCH($A13,CONTRATOS!$A:$A,0))="","",INDEX(CONTRATOS!$C:$C,MATCH($A13,CONTRATOS!$A:$A,0))),"")</f>
        <v>46746</v>
      </c>
      <c r="K13" s="13" t="n">
        <v>46813</v>
      </c>
      <c r="L13" s="13" t="n">
        <v>46858</v>
      </c>
      <c r="M13" s="13" t="n">
        <v>46878</v>
      </c>
      <c r="N13" s="13" t="n">
        <f aca="false">IFERROR(IF(INDEX(CRONOGRAMA!$H:$H,MATCH($A13,CRONOGRAMA!$A:$A,0))="","",INDEX(CRONOGRAMA!$H:$H,MATCH($A13,CRONOGRAMA!$A:$A,0))),IFERROR(IF(INDEX(CARTEIRA!$K:$K,MATCH($A13,CARTEIRA!$A:$A,0))="","",INDEX(CARTEIRA!$K:$K,MATCH($A13,CARTEIRA!$A:$A,0))),""))</f>
        <v>46888</v>
      </c>
      <c r="O13" s="13" t="n">
        <f aca="false">IFERROR(IF(INDEX(CRONOGRAMA!$I:$I,MATCH($A13,CRONOGRAMA!$A:$A,0))="","",INDEX(CRONOGRAMA!$I:$I,MATCH($A13,CRONOGRAMA!$A:$A,0))),IFERROR(IF(INDEX(CARTEIRA!$L:$L,MATCH($A13,CARTEIRA!$A:$A,0))="","",INDEX(CARTEIRA!$L:$L,MATCH($A13,CARTEIRA!$A:$A,0))),""))</f>
        <v>47028</v>
      </c>
      <c r="P13" s="14" t="n">
        <f aca="false">IFERROR(O13-N13,"")</f>
        <v>140</v>
      </c>
      <c r="Q13" s="13" t="n">
        <f aca="false">IFERROR(IF(INDEX(CRONOGRAMA!$J:$J,MATCH($A13,CRONOGRAMA!$A:$A,0))="","",INDEX(CRONOGRAMA!$J:$J,MATCH($A13,CRONOGRAMA!$A:$A,0))),IFERROR(IF(INDEX(CARTEIRA!$M:$M,MATCH($A13,CARTEIRA!$A:$A,0))="","",INDEX(CARTEIRA!$M:$M,MATCH($A13,CARTEIRA!$A:$A,0))),""))</f>
        <v>47042</v>
      </c>
      <c r="R13" s="4" t="s">
        <v>96</v>
      </c>
      <c r="S13" s="4" t="s">
        <v>97</v>
      </c>
      <c r="T13" s="11" t="str">
        <f aca="false">IFERROR(IF(INDEX(ETAPAS!$B:$B,MATCH($A13,ETAPAS!$A:$A,0))="","",INDEX(ETAPAS!$B:$B,MATCH($A13,ETAPAS!$A:$A,0))),"")</f>
        <v>3. FUNDAÇÃO</v>
      </c>
      <c r="U13" s="11"/>
    </row>
    <row r="14" customFormat="false" ht="15" hidden="false" customHeight="true" outlineLevel="0" collapsed="false">
      <c r="A14" s="10" t="s">
        <v>98</v>
      </c>
      <c r="B14" s="11" t="str">
        <f aca="false">IFERROR(IF(INDEX(CRONOGRAMA!$B:$B,MATCH($A14,CRONOGRAMA!$A:$A,0))="","",INDEX(CRONOGRAMA!$B:$B,MATCH($A14,CRONOGRAMA!$A:$A,0))),IFERROR(IF(INDEX(CARTEIRA!$B:$B,MATCH($A14,CARTEIRA!$A:$A,0))="","",INDEX(CARTEIRA!$B:$B,MATCH($A14,CARTEIRA!$A:$A,0))),""))</f>
        <v>GALPÃO TREVO</v>
      </c>
      <c r="C14" s="11" t="str">
        <f aca="false">IFERROR(IF(INDEX(CRONOGRAMA!$C:$C,MATCH($A14,CRONOGRAMA!$A:$A,0))="","",INDEX(CRONOGRAMA!$C:$C,MATCH($A14,CRONOGRAMA!$A:$A,0))),IFERROR(IF(INDEX(CARTEIRA!$C:$C,MATCH($A14,CARTEIRA!$A:$A,0))="","",INDEX(CARTEIRA!$C:$C,MATCH($A14,CARTEIRA!$A:$A,0))),""))</f>
        <v>CLIENTE DELTA</v>
      </c>
      <c r="D14" s="11" t="str">
        <f aca="false">IFERROR(IF(INDEX(CRONOGRAMA!$F:$F,MATCH($A14,CRONOGRAMA!$A:$A,0))="","",INDEX(CRONOGRAMA!$F:$F,MATCH($A14,CRONOGRAMA!$A:$A,0))),IFERROR(IF(INDEX(CARTEIRA!$E:$E,MATCH($A14,CARTEIRA!$A:$A,0))="","",INDEX(CARTEIRA!$E:$E,MATCH($A14,CARTEIRA!$A:$A,0))),""))</f>
        <v>SP</v>
      </c>
      <c r="E14" s="11" t="str">
        <f aca="false">IFERROR(IF(INDEX(CRONOGRAMA!$E:$E,MATCH($A14,CRONOGRAMA!$A:$A,0))="","",INDEX(CRONOGRAMA!$E:$E,MATCH($A14,CRONOGRAMA!$A:$A,0))),IFERROR(IF(INDEX(CARTEIRA!$D:$D,MATCH($A14,CARTEIRA!$A:$A,0))="","",INDEX(CARTEIRA!$D:$D,MATCH($A14,CARTEIRA!$A:$A,0))),""))</f>
        <v>CAMPINAS</v>
      </c>
      <c r="F14" s="11" t="str">
        <f aca="false">IFERROR(IF(INDEX(CARTEIRA!$H:$H,MATCH($A14,CARTEIRA!$A:$A,0))="","",INDEX(CARTEIRA!$H:$H,MATCH($A14,CARTEIRA!$A:$A,0))),"")</f>
        <v>MÉDIA</v>
      </c>
      <c r="G14" s="11" t="str">
        <f aca="false">IFERROR(IF(INDEX(CRONOGRAMA!$G:$G,MATCH($A14,CRONOGRAMA!$A:$A,0))="","",INDEX(CRONOGRAMA!$G:$G,MATCH($A14,CRONOGRAMA!$A:$A,0))),IFERROR(IF(INDEX(CARTEIRA!$F:$F,MATCH($A14,CARTEIRA!$A:$A,0))="","",INDEX(CARTEIRA!$F:$F,MATCH($A14,CARTEIRA!$A:$A,0))),""))</f>
        <v>ADEQUAÇÃO</v>
      </c>
      <c r="H14" s="12" t="n">
        <f aca="false">IFERROR(IF(INDEX(CARTEIRA!$G:$G,MATCH($A14,CARTEIRA!$A:$A,0))="","",INDEX(CARTEIRA!$G:$G,MATCH($A14,CARTEIRA!$A:$A,0))),"")</f>
        <v>48700</v>
      </c>
      <c r="I14" s="13" t="n">
        <f aca="false">IFERROR(IF(INDEX(CARTEIRA!$I:$I,MATCH($A14,CARTEIRA!$A:$A,0))="","",INDEX(CARTEIRA!$I:$I,MATCH($A14,CARTEIRA!$A:$A,0))),"")</f>
        <v>46726</v>
      </c>
      <c r="J14" s="13" t="n">
        <f aca="false">IFERROR(IF(INDEX(CONTRATOS!$C:$C,MATCH($A14,CONTRATOS!$A:$A,0))="","",INDEX(CONTRATOS!$C:$C,MATCH($A14,CONTRATOS!$A:$A,0))),"")</f>
        <v>46757</v>
      </c>
      <c r="K14" s="13" t="n">
        <v>46862</v>
      </c>
      <c r="L14" s="13" t="n">
        <v>46907</v>
      </c>
      <c r="M14" s="13"/>
      <c r="N14" s="13" t="n">
        <f aca="false">IFERROR(IF(INDEX(CRONOGRAMA!$H:$H,MATCH($A14,CRONOGRAMA!$A:$A,0))="","",INDEX(CRONOGRAMA!$H:$H,MATCH($A14,CRONOGRAMA!$A:$A,0))),IFERROR(IF(INDEX(CARTEIRA!$K:$K,MATCH($A14,CARTEIRA!$A:$A,0))="","",INDEX(CARTEIRA!$K:$K,MATCH($A14,CARTEIRA!$A:$A,0))),""))</f>
        <v>46937</v>
      </c>
      <c r="O14" s="13" t="n">
        <f aca="false">IFERROR(IF(INDEX(CRONOGRAMA!$I:$I,MATCH($A14,CRONOGRAMA!$A:$A,0))="","",INDEX(CRONOGRAMA!$I:$I,MATCH($A14,CRONOGRAMA!$A:$A,0))),IFERROR(IF(INDEX(CARTEIRA!$L:$L,MATCH($A14,CARTEIRA!$A:$A,0))="","",INDEX(CARTEIRA!$L:$L,MATCH($A14,CARTEIRA!$A:$A,0))),""))</f>
        <v>47095</v>
      </c>
      <c r="P14" s="14" t="n">
        <f aca="false">IFERROR(O14-N14,"")</f>
        <v>158</v>
      </c>
      <c r="Q14" s="13" t="n">
        <f aca="false">IFERROR(IF(INDEX(CRONOGRAMA!$J:$J,MATCH($A14,CRONOGRAMA!$A:$A,0))="","",INDEX(CRONOGRAMA!$J:$J,MATCH($A14,CRONOGRAMA!$A:$A,0))),IFERROR(IF(INDEX(CARTEIRA!$M:$M,MATCH($A14,CARTEIRA!$A:$A,0))="","",INDEX(CARTEIRA!$M:$M,MATCH($A14,CARTEIRA!$A:$A,0))),""))</f>
        <v>47107</v>
      </c>
      <c r="R14" s="4" t="s">
        <v>99</v>
      </c>
      <c r="S14" s="4" t="s">
        <v>100</v>
      </c>
      <c r="T14" s="11" t="str">
        <f aca="false">IFERROR(IF(INDEX(ETAPAS!$B:$B,MATCH($A14,ETAPAS!$A:$A,0))="","",INDEX(ETAPAS!$B:$B,MATCH($A14,ETAPAS!$A:$A,0))),"")</f>
        <v>5. COBERTURA</v>
      </c>
      <c r="U1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8" t="s">
        <v>43</v>
      </c>
      <c r="B1" s="8" t="s">
        <v>44</v>
      </c>
      <c r="C1" s="8" t="s">
        <v>45</v>
      </c>
      <c r="D1" s="8" t="s">
        <v>101</v>
      </c>
      <c r="E1" s="8" t="s">
        <v>47</v>
      </c>
      <c r="F1" s="8" t="s">
        <v>46</v>
      </c>
      <c r="G1" s="8" t="s">
        <v>49</v>
      </c>
      <c r="H1" s="8" t="s">
        <v>56</v>
      </c>
      <c r="I1" s="8" t="s">
        <v>57</v>
      </c>
      <c r="J1" s="8" t="s">
        <v>102</v>
      </c>
      <c r="K1" s="8" t="s">
        <v>63</v>
      </c>
    </row>
    <row r="2" customFormat="false" ht="15" hidden="false" customHeight="false" outlineLevel="0" collapsed="false">
      <c r="A2" s="10" t="s">
        <v>64</v>
      </c>
      <c r="B2" s="11" t="s">
        <v>103</v>
      </c>
      <c r="C2" s="11" t="s">
        <v>104</v>
      </c>
      <c r="D2" s="11" t="s">
        <v>105</v>
      </c>
      <c r="E2" s="11" t="s">
        <v>106</v>
      </c>
      <c r="F2" s="11" t="s">
        <v>107</v>
      </c>
      <c r="G2" s="11" t="s">
        <v>108</v>
      </c>
      <c r="H2" s="13" t="n">
        <v>46697</v>
      </c>
      <c r="I2" s="13" t="n">
        <v>46836</v>
      </c>
      <c r="J2" s="13" t="n">
        <v>46850</v>
      </c>
      <c r="K2" s="11" t="s">
        <v>67</v>
      </c>
    </row>
    <row r="3" customFormat="false" ht="15" hidden="false" customHeight="false" outlineLevel="0" collapsed="false">
      <c r="A3" s="10" t="s">
        <v>68</v>
      </c>
      <c r="B3" s="11" t="s">
        <v>109</v>
      </c>
      <c r="C3" s="11" t="s">
        <v>110</v>
      </c>
      <c r="D3" s="11" t="s">
        <v>111</v>
      </c>
      <c r="E3" s="11" t="s">
        <v>112</v>
      </c>
      <c r="F3" s="11" t="s">
        <v>107</v>
      </c>
      <c r="G3" s="11" t="s">
        <v>108</v>
      </c>
      <c r="H3" s="13" t="n">
        <v>46825</v>
      </c>
      <c r="I3" s="13" t="n">
        <v>46955</v>
      </c>
      <c r="J3" s="13" t="n">
        <v>46969</v>
      </c>
      <c r="K3" s="11" t="s">
        <v>113</v>
      </c>
    </row>
    <row r="4" customFormat="false" ht="15" hidden="false" customHeight="false" outlineLevel="0" collapsed="false">
      <c r="A4" s="10" t="s">
        <v>71</v>
      </c>
      <c r="B4" s="11" t="s">
        <v>114</v>
      </c>
      <c r="C4" s="11" t="s">
        <v>115</v>
      </c>
      <c r="D4" s="11" t="s">
        <v>116</v>
      </c>
      <c r="E4" s="11" t="s">
        <v>117</v>
      </c>
      <c r="F4" s="11" t="s">
        <v>107</v>
      </c>
      <c r="G4" s="11" t="s">
        <v>118</v>
      </c>
      <c r="H4" s="13" t="n">
        <v>46832</v>
      </c>
      <c r="I4" s="13" t="n">
        <v>46972</v>
      </c>
      <c r="J4" s="13" t="n">
        <v>46986</v>
      </c>
      <c r="K4" s="11" t="s">
        <v>113</v>
      </c>
    </row>
    <row r="5" customFormat="false" ht="15" hidden="false" customHeight="false" outlineLevel="0" collapsed="false">
      <c r="A5" s="10" t="s">
        <v>74</v>
      </c>
      <c r="B5" s="11" t="s">
        <v>119</v>
      </c>
      <c r="C5" s="11" t="s">
        <v>120</v>
      </c>
      <c r="D5" s="11" t="s">
        <v>121</v>
      </c>
      <c r="E5" s="11" t="s">
        <v>122</v>
      </c>
      <c r="F5" s="11" t="s">
        <v>107</v>
      </c>
      <c r="G5" s="11" t="s">
        <v>123</v>
      </c>
      <c r="H5" s="13" t="n">
        <v>46762</v>
      </c>
      <c r="I5" s="13" t="n">
        <v>46886</v>
      </c>
      <c r="J5" s="13" t="n">
        <v>46899</v>
      </c>
      <c r="K5" s="11" t="s">
        <v>113</v>
      </c>
    </row>
    <row r="6" customFormat="false" ht="15" hidden="false" customHeight="false" outlineLevel="0" collapsed="false">
      <c r="A6" s="10" t="s">
        <v>77</v>
      </c>
      <c r="B6" s="11" t="s">
        <v>124</v>
      </c>
      <c r="C6" s="11" t="s">
        <v>104</v>
      </c>
      <c r="D6" s="11" t="s">
        <v>125</v>
      </c>
      <c r="E6" s="11" t="s">
        <v>126</v>
      </c>
      <c r="F6" s="11" t="s">
        <v>107</v>
      </c>
      <c r="G6" s="11" t="s">
        <v>108</v>
      </c>
      <c r="H6" s="13" t="n">
        <v>46846</v>
      </c>
      <c r="I6" s="13" t="n">
        <v>46966</v>
      </c>
      <c r="J6" s="13" t="n">
        <v>46980</v>
      </c>
      <c r="K6" s="11" t="s">
        <v>113</v>
      </c>
    </row>
    <row r="7" customFormat="false" ht="15" hidden="false" customHeight="false" outlineLevel="0" collapsed="false">
      <c r="A7" s="10" t="s">
        <v>80</v>
      </c>
      <c r="B7" s="11" t="s">
        <v>127</v>
      </c>
      <c r="C7" s="11" t="s">
        <v>110</v>
      </c>
      <c r="D7" s="11" t="s">
        <v>128</v>
      </c>
      <c r="E7" s="11" t="s">
        <v>129</v>
      </c>
      <c r="F7" s="11" t="s">
        <v>107</v>
      </c>
      <c r="G7" s="11" t="s">
        <v>130</v>
      </c>
      <c r="H7" s="13" t="n">
        <v>46739</v>
      </c>
      <c r="I7" s="13" t="n">
        <v>46864</v>
      </c>
      <c r="J7" s="13" t="n">
        <v>46876</v>
      </c>
      <c r="K7" s="11" t="s">
        <v>113</v>
      </c>
    </row>
    <row r="8" customFormat="false" ht="15" hidden="false" customHeight="false" outlineLevel="0" collapsed="false">
      <c r="A8" s="10" t="s">
        <v>83</v>
      </c>
      <c r="B8" s="11" t="s">
        <v>131</v>
      </c>
      <c r="C8" s="11" t="s">
        <v>115</v>
      </c>
      <c r="D8" s="11" t="s">
        <v>132</v>
      </c>
      <c r="E8" s="11" t="s">
        <v>133</v>
      </c>
      <c r="F8" s="11" t="s">
        <v>134</v>
      </c>
      <c r="G8" s="11" t="s">
        <v>108</v>
      </c>
      <c r="H8" s="13" t="n">
        <v>46860</v>
      </c>
      <c r="I8" s="13" t="n">
        <v>47000</v>
      </c>
      <c r="J8" s="13" t="n">
        <v>47014</v>
      </c>
      <c r="K8" s="11" t="s">
        <v>113</v>
      </c>
    </row>
    <row r="9" customFormat="false" ht="15" hidden="false" customHeight="false" outlineLevel="0" collapsed="false">
      <c r="A9" s="10" t="s">
        <v>86</v>
      </c>
      <c r="B9" s="11" t="s">
        <v>135</v>
      </c>
      <c r="C9" s="11" t="s">
        <v>120</v>
      </c>
      <c r="D9" s="11" t="s">
        <v>136</v>
      </c>
      <c r="E9" s="11" t="s">
        <v>137</v>
      </c>
      <c r="F9" s="11" t="s">
        <v>138</v>
      </c>
      <c r="G9" s="11" t="s">
        <v>108</v>
      </c>
      <c r="H9" s="13" t="n">
        <v>46867</v>
      </c>
      <c r="I9" s="13" t="n">
        <v>47017</v>
      </c>
      <c r="J9" s="13" t="n">
        <v>47031</v>
      </c>
      <c r="K9" s="11" t="s">
        <v>113</v>
      </c>
    </row>
    <row r="10" customFormat="false" ht="15" hidden="false" customHeight="false" outlineLevel="0" collapsed="false">
      <c r="A10" s="10" t="s">
        <v>89</v>
      </c>
      <c r="B10" s="11" t="s">
        <v>139</v>
      </c>
      <c r="C10" s="11" t="s">
        <v>104</v>
      </c>
      <c r="D10" s="11" t="s">
        <v>140</v>
      </c>
      <c r="E10" s="11" t="s">
        <v>141</v>
      </c>
      <c r="F10" s="11" t="s">
        <v>142</v>
      </c>
      <c r="G10" s="11" t="s">
        <v>118</v>
      </c>
      <c r="H10" s="13" t="n">
        <v>46874</v>
      </c>
      <c r="I10" s="13" t="n">
        <v>46994</v>
      </c>
      <c r="J10" s="13" t="n">
        <v>47008</v>
      </c>
      <c r="K10" s="11" t="s">
        <v>113</v>
      </c>
    </row>
    <row r="11" customFormat="false" ht="15" hidden="false" customHeight="false" outlineLevel="0" collapsed="false">
      <c r="A11" s="10" t="s">
        <v>92</v>
      </c>
      <c r="B11" s="11" t="s">
        <v>143</v>
      </c>
      <c r="C11" s="11" t="s">
        <v>110</v>
      </c>
      <c r="D11" s="11" t="s">
        <v>144</v>
      </c>
      <c r="E11" s="11" t="s">
        <v>145</v>
      </c>
      <c r="F11" s="11" t="s">
        <v>146</v>
      </c>
      <c r="G11" s="11" t="s">
        <v>123</v>
      </c>
      <c r="H11" s="13" t="n">
        <v>46881</v>
      </c>
      <c r="I11" s="13" t="n">
        <v>47011</v>
      </c>
      <c r="J11" s="13" t="n">
        <v>47025</v>
      </c>
      <c r="K11" s="11" t="s">
        <v>113</v>
      </c>
    </row>
    <row r="12" customFormat="false" ht="15" hidden="false" customHeight="false" outlineLevel="0" collapsed="false">
      <c r="A12" s="10" t="s">
        <v>95</v>
      </c>
      <c r="B12" s="11" t="s">
        <v>147</v>
      </c>
      <c r="C12" s="11" t="s">
        <v>115</v>
      </c>
      <c r="D12" s="11" t="s">
        <v>148</v>
      </c>
      <c r="E12" s="11" t="s">
        <v>149</v>
      </c>
      <c r="F12" s="11" t="s">
        <v>107</v>
      </c>
      <c r="G12" s="11" t="s">
        <v>108</v>
      </c>
      <c r="H12" s="13" t="n">
        <v>46888</v>
      </c>
      <c r="I12" s="13" t="n">
        <v>47028</v>
      </c>
      <c r="J12" s="13" t="n">
        <v>47042</v>
      </c>
      <c r="K12" s="11" t="s">
        <v>113</v>
      </c>
    </row>
    <row r="13" customFormat="false" ht="15" hidden="false" customHeight="false" outlineLevel="0" collapsed="false">
      <c r="A13" s="10" t="s">
        <v>98</v>
      </c>
      <c r="B13" s="11" t="s">
        <v>150</v>
      </c>
      <c r="C13" s="11" t="s">
        <v>120</v>
      </c>
      <c r="D13" s="11" t="s">
        <v>151</v>
      </c>
      <c r="E13" s="11" t="s">
        <v>106</v>
      </c>
      <c r="F13" s="11" t="s">
        <v>107</v>
      </c>
      <c r="G13" s="11" t="s">
        <v>130</v>
      </c>
      <c r="H13" s="13" t="n">
        <v>46937</v>
      </c>
      <c r="I13" s="13" t="n">
        <v>47095</v>
      </c>
      <c r="J13" s="13" t="n">
        <v>47107</v>
      </c>
      <c r="K13" s="11" t="s">
        <v>113</v>
      </c>
    </row>
    <row r="14" customFormat="false" ht="15" hidden="false" customHeight="false" outlineLevel="0" collapsed="false">
      <c r="A14" s="10" t="s">
        <v>152</v>
      </c>
      <c r="B14" s="11" t="s">
        <v>153</v>
      </c>
      <c r="C14" s="11" t="s">
        <v>104</v>
      </c>
      <c r="D14" s="11" t="s">
        <v>154</v>
      </c>
      <c r="E14" s="11" t="s">
        <v>112</v>
      </c>
      <c r="F14" s="11" t="s">
        <v>107</v>
      </c>
      <c r="G14" s="11" t="s">
        <v>108</v>
      </c>
      <c r="H14" s="13" t="n">
        <v>47000</v>
      </c>
      <c r="I14" s="13" t="n">
        <v>47133</v>
      </c>
      <c r="J14" s="13" t="n">
        <v>47147</v>
      </c>
      <c r="K14" s="11" t="s">
        <v>113</v>
      </c>
    </row>
    <row r="15" customFormat="false" ht="15" hidden="false" customHeight="false" outlineLevel="0" collapsed="false">
      <c r="A15" s="10" t="s">
        <v>155</v>
      </c>
      <c r="B15" s="11" t="s">
        <v>156</v>
      </c>
      <c r="C15" s="11" t="s">
        <v>110</v>
      </c>
      <c r="D15" s="11" t="s">
        <v>157</v>
      </c>
      <c r="E15" s="11" t="s">
        <v>117</v>
      </c>
      <c r="F15" s="11" t="s">
        <v>107</v>
      </c>
      <c r="G15" s="11" t="s">
        <v>108</v>
      </c>
      <c r="H15" s="13" t="n">
        <v>47000</v>
      </c>
      <c r="I15" s="13" t="n">
        <v>47133</v>
      </c>
      <c r="J15" s="13" t="n">
        <v>47147</v>
      </c>
      <c r="K15" s="11" t="s">
        <v>113</v>
      </c>
    </row>
    <row r="16" customFormat="false" ht="15" hidden="false" customHeight="false" outlineLevel="0" collapsed="false">
      <c r="A16" s="10" t="s">
        <v>158</v>
      </c>
      <c r="B16" s="11" t="s">
        <v>159</v>
      </c>
      <c r="C16" s="11" t="s">
        <v>115</v>
      </c>
      <c r="D16" s="11" t="s">
        <v>160</v>
      </c>
      <c r="E16" s="11" t="s">
        <v>122</v>
      </c>
      <c r="F16" s="11" t="s">
        <v>107</v>
      </c>
      <c r="G16" s="11" t="s">
        <v>118</v>
      </c>
      <c r="H16" s="13" t="n">
        <v>47000</v>
      </c>
      <c r="I16" s="13" t="n">
        <v>47133</v>
      </c>
      <c r="J16" s="13" t="n">
        <v>47147</v>
      </c>
      <c r="K16" s="11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9"/>
    <col collapsed="false" customWidth="true" hidden="false" outlineLevel="0" max="12" min="12" style="0" width="16"/>
    <col collapsed="false" customWidth="true" hidden="false" outlineLevel="0" max="13" min="13" style="0" width="20"/>
  </cols>
  <sheetData>
    <row r="1" customFormat="false" ht="31.5" hidden="false" customHeight="true" outlineLevel="0" collapsed="false">
      <c r="A1" s="8" t="s">
        <v>43</v>
      </c>
      <c r="B1" s="8" t="s">
        <v>44</v>
      </c>
      <c r="C1" s="8" t="s">
        <v>45</v>
      </c>
      <c r="D1" s="8" t="s">
        <v>47</v>
      </c>
      <c r="E1" s="8" t="s">
        <v>46</v>
      </c>
      <c r="F1" s="8" t="s">
        <v>49</v>
      </c>
      <c r="G1" s="8" t="s">
        <v>50</v>
      </c>
      <c r="H1" s="8" t="s">
        <v>48</v>
      </c>
      <c r="I1" s="8" t="s">
        <v>51</v>
      </c>
      <c r="J1" s="8" t="s">
        <v>63</v>
      </c>
      <c r="K1" s="8" t="s">
        <v>161</v>
      </c>
      <c r="L1" s="8" t="s">
        <v>162</v>
      </c>
      <c r="M1" s="8" t="s">
        <v>102</v>
      </c>
    </row>
    <row r="2" customFormat="false" ht="15" hidden="false" customHeight="false" outlineLevel="0" collapsed="false">
      <c r="A2" s="10" t="s">
        <v>64</v>
      </c>
      <c r="B2" s="11" t="s">
        <v>103</v>
      </c>
      <c r="C2" s="11" t="s">
        <v>104</v>
      </c>
      <c r="D2" s="11" t="s">
        <v>106</v>
      </c>
      <c r="E2" s="11" t="s">
        <v>107</v>
      </c>
      <c r="F2" s="11" t="s">
        <v>108</v>
      </c>
      <c r="G2" s="12" t="n">
        <v>8000</v>
      </c>
      <c r="H2" s="11" t="s">
        <v>163</v>
      </c>
      <c r="I2" s="13" t="n">
        <v>46539</v>
      </c>
      <c r="J2" s="11" t="s">
        <v>164</v>
      </c>
      <c r="K2" s="13"/>
      <c r="L2" s="13"/>
      <c r="M2" s="13"/>
    </row>
    <row r="3" customFormat="false" ht="15" hidden="false" customHeight="false" outlineLevel="0" collapsed="false">
      <c r="A3" s="10" t="s">
        <v>68</v>
      </c>
      <c r="B3" s="11" t="s">
        <v>109</v>
      </c>
      <c r="C3" s="11" t="s">
        <v>110</v>
      </c>
      <c r="D3" s="11" t="s">
        <v>112</v>
      </c>
      <c r="E3" s="11" t="s">
        <v>107</v>
      </c>
      <c r="F3" s="11" t="s">
        <v>108</v>
      </c>
      <c r="G3" s="12" t="n">
        <v>11700</v>
      </c>
      <c r="H3" s="11" t="s">
        <v>165</v>
      </c>
      <c r="I3" s="13" t="n">
        <v>46556</v>
      </c>
      <c r="J3" s="11" t="s">
        <v>164</v>
      </c>
      <c r="K3" s="13"/>
      <c r="L3" s="13"/>
      <c r="M3" s="13"/>
    </row>
    <row r="4" customFormat="false" ht="15" hidden="false" customHeight="false" outlineLevel="0" collapsed="false">
      <c r="A4" s="10" t="s">
        <v>71</v>
      </c>
      <c r="B4" s="11" t="s">
        <v>114</v>
      </c>
      <c r="C4" s="11" t="s">
        <v>115</v>
      </c>
      <c r="D4" s="11" t="s">
        <v>117</v>
      </c>
      <c r="E4" s="11" t="s">
        <v>107</v>
      </c>
      <c r="F4" s="11" t="s">
        <v>118</v>
      </c>
      <c r="G4" s="12" t="n">
        <v>15400</v>
      </c>
      <c r="H4" s="11" t="s">
        <v>166</v>
      </c>
      <c r="I4" s="13" t="n">
        <v>46573</v>
      </c>
      <c r="J4" s="11" t="s">
        <v>164</v>
      </c>
      <c r="K4" s="13"/>
      <c r="L4" s="13"/>
      <c r="M4" s="13"/>
    </row>
    <row r="5" customFormat="false" ht="15" hidden="false" customHeight="false" outlineLevel="0" collapsed="false">
      <c r="A5" s="10" t="s">
        <v>74</v>
      </c>
      <c r="B5" s="11" t="s">
        <v>119</v>
      </c>
      <c r="C5" s="11" t="s">
        <v>120</v>
      </c>
      <c r="D5" s="11" t="s">
        <v>122</v>
      </c>
      <c r="E5" s="11" t="s">
        <v>107</v>
      </c>
      <c r="F5" s="11" t="s">
        <v>123</v>
      </c>
      <c r="G5" s="12" t="n">
        <v>19100</v>
      </c>
      <c r="H5" s="11" t="s">
        <v>165</v>
      </c>
      <c r="I5" s="13" t="n">
        <v>46590</v>
      </c>
      <c r="J5" s="11" t="s">
        <v>164</v>
      </c>
      <c r="K5" s="13"/>
      <c r="L5" s="13"/>
      <c r="M5" s="13"/>
    </row>
    <row r="6" customFormat="false" ht="15" hidden="false" customHeight="false" outlineLevel="0" collapsed="false">
      <c r="A6" s="10" t="s">
        <v>77</v>
      </c>
      <c r="B6" s="11" t="s">
        <v>124</v>
      </c>
      <c r="C6" s="11" t="s">
        <v>104</v>
      </c>
      <c r="D6" s="11" t="s">
        <v>126</v>
      </c>
      <c r="E6" s="11" t="s">
        <v>107</v>
      </c>
      <c r="F6" s="11" t="s">
        <v>108</v>
      </c>
      <c r="G6" s="12" t="n">
        <v>22800</v>
      </c>
      <c r="H6" s="11" t="s">
        <v>163</v>
      </c>
      <c r="I6" s="13" t="n">
        <v>46607</v>
      </c>
      <c r="J6" s="11" t="s">
        <v>164</v>
      </c>
      <c r="K6" s="13"/>
      <c r="L6" s="13"/>
      <c r="M6" s="13"/>
    </row>
    <row r="7" customFormat="false" ht="15" hidden="false" customHeight="false" outlineLevel="0" collapsed="false">
      <c r="A7" s="10" t="s">
        <v>80</v>
      </c>
      <c r="B7" s="11" t="s">
        <v>127</v>
      </c>
      <c r="C7" s="11" t="s">
        <v>110</v>
      </c>
      <c r="D7" s="11" t="s">
        <v>129</v>
      </c>
      <c r="E7" s="11" t="s">
        <v>107</v>
      </c>
      <c r="F7" s="11" t="s">
        <v>130</v>
      </c>
      <c r="G7" s="12" t="n">
        <v>26500</v>
      </c>
      <c r="H7" s="11" t="s">
        <v>165</v>
      </c>
      <c r="I7" s="13" t="n">
        <v>46624</v>
      </c>
      <c r="J7" s="11" t="s">
        <v>164</v>
      </c>
      <c r="K7" s="13"/>
      <c r="L7" s="13"/>
      <c r="M7" s="13"/>
    </row>
    <row r="8" customFormat="false" ht="15" hidden="false" customHeight="false" outlineLevel="0" collapsed="false">
      <c r="A8" s="10" t="s">
        <v>83</v>
      </c>
      <c r="B8" s="11" t="s">
        <v>131</v>
      </c>
      <c r="C8" s="11" t="s">
        <v>115</v>
      </c>
      <c r="D8" s="11" t="s">
        <v>133</v>
      </c>
      <c r="E8" s="11" t="s">
        <v>134</v>
      </c>
      <c r="F8" s="11" t="s">
        <v>108</v>
      </c>
      <c r="G8" s="12" t="n">
        <v>30200</v>
      </c>
      <c r="H8" s="11" t="s">
        <v>166</v>
      </c>
      <c r="I8" s="13" t="n">
        <v>46641</v>
      </c>
      <c r="J8" s="11" t="s">
        <v>164</v>
      </c>
      <c r="K8" s="13"/>
      <c r="L8" s="13"/>
      <c r="M8" s="13"/>
    </row>
    <row r="9" customFormat="false" ht="15" hidden="false" customHeight="false" outlineLevel="0" collapsed="false">
      <c r="A9" s="10" t="s">
        <v>86</v>
      </c>
      <c r="B9" s="11" t="s">
        <v>135</v>
      </c>
      <c r="C9" s="11" t="s">
        <v>120</v>
      </c>
      <c r="D9" s="11" t="s">
        <v>137</v>
      </c>
      <c r="E9" s="11" t="s">
        <v>138</v>
      </c>
      <c r="F9" s="11" t="s">
        <v>108</v>
      </c>
      <c r="G9" s="12" t="n">
        <v>33900</v>
      </c>
      <c r="H9" s="11" t="s">
        <v>165</v>
      </c>
      <c r="I9" s="13" t="n">
        <v>46658</v>
      </c>
      <c r="J9" s="11" t="s">
        <v>164</v>
      </c>
      <c r="K9" s="13"/>
      <c r="L9" s="13"/>
      <c r="M9" s="13"/>
    </row>
    <row r="10" customFormat="false" ht="15" hidden="false" customHeight="false" outlineLevel="0" collapsed="false">
      <c r="A10" s="10" t="s">
        <v>89</v>
      </c>
      <c r="B10" s="11" t="s">
        <v>139</v>
      </c>
      <c r="C10" s="11" t="s">
        <v>104</v>
      </c>
      <c r="D10" s="11" t="s">
        <v>141</v>
      </c>
      <c r="E10" s="11" t="s">
        <v>142</v>
      </c>
      <c r="F10" s="11" t="s">
        <v>118</v>
      </c>
      <c r="G10" s="12" t="n">
        <v>37600</v>
      </c>
      <c r="H10" s="11" t="s">
        <v>163</v>
      </c>
      <c r="I10" s="13" t="n">
        <v>46675</v>
      </c>
      <c r="J10" s="11" t="s">
        <v>164</v>
      </c>
      <c r="K10" s="13"/>
      <c r="L10" s="13"/>
      <c r="M10" s="13"/>
    </row>
    <row r="11" customFormat="false" ht="15" hidden="false" customHeight="false" outlineLevel="0" collapsed="false">
      <c r="A11" s="10" t="s">
        <v>92</v>
      </c>
      <c r="B11" s="11" t="s">
        <v>143</v>
      </c>
      <c r="C11" s="11" t="s">
        <v>110</v>
      </c>
      <c r="D11" s="11" t="s">
        <v>145</v>
      </c>
      <c r="E11" s="11" t="s">
        <v>146</v>
      </c>
      <c r="F11" s="11" t="s">
        <v>123</v>
      </c>
      <c r="G11" s="12" t="n">
        <v>41300</v>
      </c>
      <c r="H11" s="11" t="s">
        <v>165</v>
      </c>
      <c r="I11" s="13" t="n">
        <v>46692</v>
      </c>
      <c r="J11" s="11" t="s">
        <v>164</v>
      </c>
      <c r="K11" s="13"/>
      <c r="L11" s="13"/>
      <c r="M11" s="13"/>
    </row>
    <row r="12" customFormat="false" ht="15" hidden="false" customHeight="false" outlineLevel="0" collapsed="false">
      <c r="A12" s="10" t="s">
        <v>95</v>
      </c>
      <c r="B12" s="11" t="s">
        <v>147</v>
      </c>
      <c r="C12" s="11" t="s">
        <v>115</v>
      </c>
      <c r="D12" s="11" t="s">
        <v>149</v>
      </c>
      <c r="E12" s="11" t="s">
        <v>107</v>
      </c>
      <c r="F12" s="11" t="s">
        <v>108</v>
      </c>
      <c r="G12" s="12" t="n">
        <v>45000</v>
      </c>
      <c r="H12" s="11" t="s">
        <v>166</v>
      </c>
      <c r="I12" s="13" t="n">
        <v>46709</v>
      </c>
      <c r="J12" s="11" t="s">
        <v>164</v>
      </c>
      <c r="K12" s="13"/>
      <c r="L12" s="13"/>
      <c r="M12" s="13"/>
    </row>
    <row r="13" customFormat="false" ht="15" hidden="false" customHeight="false" outlineLevel="0" collapsed="false">
      <c r="A13" s="10" t="s">
        <v>98</v>
      </c>
      <c r="B13" s="11" t="s">
        <v>150</v>
      </c>
      <c r="C13" s="11" t="s">
        <v>120</v>
      </c>
      <c r="D13" s="11" t="s">
        <v>106</v>
      </c>
      <c r="E13" s="11" t="s">
        <v>107</v>
      </c>
      <c r="F13" s="11" t="s">
        <v>130</v>
      </c>
      <c r="G13" s="12" t="n">
        <v>48700</v>
      </c>
      <c r="H13" s="11" t="s">
        <v>165</v>
      </c>
      <c r="I13" s="13" t="n">
        <v>46726</v>
      </c>
      <c r="J13" s="11" t="s">
        <v>164</v>
      </c>
      <c r="K13" s="13"/>
      <c r="L13" s="13"/>
      <c r="M13" s="13"/>
    </row>
    <row r="14" customFormat="false" ht="15" hidden="false" customHeight="false" outlineLevel="0" collapsed="false">
      <c r="A14" s="10" t="s">
        <v>152</v>
      </c>
      <c r="B14" s="11" t="s">
        <v>153</v>
      </c>
      <c r="C14" s="11" t="s">
        <v>104</v>
      </c>
      <c r="D14" s="11" t="s">
        <v>112</v>
      </c>
      <c r="E14" s="11" t="s">
        <v>107</v>
      </c>
      <c r="F14" s="11" t="s">
        <v>108</v>
      </c>
      <c r="G14" s="12" t="n">
        <v>10400</v>
      </c>
      <c r="H14" s="11" t="s">
        <v>163</v>
      </c>
      <c r="I14" s="13" t="n">
        <v>46743</v>
      </c>
      <c r="J14" s="11" t="s">
        <v>164</v>
      </c>
      <c r="K14" s="13"/>
      <c r="L14" s="13"/>
      <c r="M14" s="13"/>
    </row>
    <row r="15" customFormat="false" ht="15" hidden="false" customHeight="false" outlineLevel="0" collapsed="false">
      <c r="A15" s="10" t="s">
        <v>155</v>
      </c>
      <c r="B15" s="11" t="s">
        <v>156</v>
      </c>
      <c r="C15" s="11" t="s">
        <v>110</v>
      </c>
      <c r="D15" s="11" t="s">
        <v>117</v>
      </c>
      <c r="E15" s="11" t="s">
        <v>107</v>
      </c>
      <c r="F15" s="11" t="s">
        <v>108</v>
      </c>
      <c r="G15" s="12" t="n">
        <v>14100</v>
      </c>
      <c r="H15" s="11" t="s">
        <v>165</v>
      </c>
      <c r="I15" s="13" t="n">
        <v>46760</v>
      </c>
      <c r="J15" s="11" t="s">
        <v>164</v>
      </c>
      <c r="K15" s="13"/>
      <c r="L15" s="13"/>
      <c r="M15" s="13"/>
    </row>
    <row r="16" customFormat="false" ht="15" hidden="false" customHeight="false" outlineLevel="0" collapsed="false">
      <c r="A16" s="10" t="s">
        <v>158</v>
      </c>
      <c r="B16" s="11" t="s">
        <v>159</v>
      </c>
      <c r="C16" s="11" t="s">
        <v>115</v>
      </c>
      <c r="D16" s="11" t="s">
        <v>122</v>
      </c>
      <c r="E16" s="11" t="s">
        <v>107</v>
      </c>
      <c r="F16" s="11" t="s">
        <v>118</v>
      </c>
      <c r="G16" s="12" t="n">
        <v>17800</v>
      </c>
      <c r="H16" s="11" t="s">
        <v>166</v>
      </c>
      <c r="I16" s="13" t="n">
        <v>46777</v>
      </c>
      <c r="J16" s="11" t="s">
        <v>164</v>
      </c>
      <c r="K16" s="13"/>
      <c r="L16" s="13"/>
      <c r="M16" s="13"/>
    </row>
    <row r="17" customFormat="false" ht="15" hidden="false" customHeight="false" outlineLevel="0" collapsed="false">
      <c r="A17" s="10" t="s">
        <v>167</v>
      </c>
      <c r="B17" s="11" t="s">
        <v>168</v>
      </c>
      <c r="C17" s="11" t="s">
        <v>120</v>
      </c>
      <c r="D17" s="11" t="s">
        <v>126</v>
      </c>
      <c r="E17" s="11" t="s">
        <v>107</v>
      </c>
      <c r="F17" s="11" t="s">
        <v>123</v>
      </c>
      <c r="G17" s="12" t="n">
        <v>21500</v>
      </c>
      <c r="H17" s="11" t="s">
        <v>165</v>
      </c>
      <c r="I17" s="13" t="n">
        <v>46794</v>
      </c>
      <c r="J17" s="11" t="s">
        <v>164</v>
      </c>
      <c r="K17" s="13" t="n">
        <v>47028</v>
      </c>
      <c r="L17" s="13" t="n">
        <v>47154</v>
      </c>
      <c r="M17" s="13" t="n">
        <v>47168</v>
      </c>
    </row>
    <row r="18" customFormat="false" ht="15" hidden="false" customHeight="false" outlineLevel="0" collapsed="false">
      <c r="A18" s="10" t="s">
        <v>169</v>
      </c>
      <c r="B18" s="11" t="s">
        <v>170</v>
      </c>
      <c r="C18" s="11" t="s">
        <v>104</v>
      </c>
      <c r="D18" s="11" t="s">
        <v>129</v>
      </c>
      <c r="E18" s="11" t="s">
        <v>107</v>
      </c>
      <c r="F18" s="11" t="s">
        <v>108</v>
      </c>
      <c r="G18" s="12" t="n">
        <v>25200</v>
      </c>
      <c r="H18" s="11" t="s">
        <v>163</v>
      </c>
      <c r="I18" s="13" t="n">
        <v>46811</v>
      </c>
      <c r="J18" s="11" t="s">
        <v>164</v>
      </c>
      <c r="K18" s="13" t="n">
        <v>47028</v>
      </c>
      <c r="L18" s="13" t="n">
        <v>47154</v>
      </c>
      <c r="M18" s="13" t="n">
        <v>47168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</cols>
  <sheetData>
    <row r="1" customFormat="false" ht="31.5" hidden="false" customHeight="true" outlineLevel="0" collapsed="false">
      <c r="A1" s="8" t="s">
        <v>43</v>
      </c>
      <c r="B1" s="8" t="s">
        <v>62</v>
      </c>
    </row>
    <row r="2" customFormat="false" ht="15" hidden="false" customHeight="false" outlineLevel="0" collapsed="false">
      <c r="A2" s="10" t="s">
        <v>64</v>
      </c>
      <c r="B2" s="11" t="s">
        <v>171</v>
      </c>
    </row>
    <row r="3" customFormat="false" ht="15" hidden="false" customHeight="false" outlineLevel="0" collapsed="false">
      <c r="A3" s="10" t="s">
        <v>68</v>
      </c>
      <c r="B3" s="11" t="s">
        <v>172</v>
      </c>
    </row>
    <row r="4" customFormat="false" ht="15" hidden="false" customHeight="false" outlineLevel="0" collapsed="false">
      <c r="A4" s="10" t="s">
        <v>71</v>
      </c>
      <c r="B4" s="11" t="s">
        <v>173</v>
      </c>
    </row>
    <row r="5" customFormat="false" ht="15" hidden="false" customHeight="false" outlineLevel="0" collapsed="false">
      <c r="A5" s="10" t="s">
        <v>74</v>
      </c>
      <c r="B5" s="11" t="s">
        <v>174</v>
      </c>
    </row>
    <row r="6" customFormat="false" ht="15" hidden="false" customHeight="false" outlineLevel="0" collapsed="false">
      <c r="A6" s="10" t="s">
        <v>77</v>
      </c>
      <c r="B6" s="11" t="s">
        <v>175</v>
      </c>
    </row>
    <row r="7" customFormat="false" ht="15" hidden="false" customHeight="false" outlineLevel="0" collapsed="false">
      <c r="A7" s="10" t="s">
        <v>80</v>
      </c>
      <c r="B7" s="11" t="s">
        <v>176</v>
      </c>
    </row>
    <row r="8" customFormat="false" ht="15" hidden="false" customHeight="false" outlineLevel="0" collapsed="false">
      <c r="A8" s="10" t="s">
        <v>83</v>
      </c>
      <c r="B8" s="11" t="s">
        <v>177</v>
      </c>
    </row>
    <row r="9" customFormat="false" ht="15" hidden="false" customHeight="false" outlineLevel="0" collapsed="false">
      <c r="A9" s="10" t="s">
        <v>86</v>
      </c>
      <c r="B9" s="11" t="s">
        <v>178</v>
      </c>
    </row>
    <row r="10" customFormat="false" ht="15" hidden="false" customHeight="false" outlineLevel="0" collapsed="false">
      <c r="A10" s="10" t="s">
        <v>89</v>
      </c>
      <c r="B10" s="11" t="s">
        <v>179</v>
      </c>
    </row>
    <row r="11" customFormat="false" ht="15" hidden="false" customHeight="false" outlineLevel="0" collapsed="false">
      <c r="A11" s="10" t="s">
        <v>92</v>
      </c>
      <c r="B11" s="11" t="s">
        <v>171</v>
      </c>
    </row>
    <row r="12" customFormat="false" ht="15" hidden="false" customHeight="false" outlineLevel="0" collapsed="false">
      <c r="A12" s="10" t="s">
        <v>95</v>
      </c>
      <c r="B12" s="11" t="s">
        <v>172</v>
      </c>
    </row>
    <row r="13" customFormat="false" ht="15" hidden="false" customHeight="false" outlineLevel="0" collapsed="false">
      <c r="A13" s="10" t="s">
        <v>98</v>
      </c>
      <c r="B13" s="11" t="s">
        <v>173</v>
      </c>
    </row>
    <row r="14" customFormat="false" ht="15" hidden="false" customHeight="false" outlineLevel="0" collapsed="false">
      <c r="A14" s="10" t="s">
        <v>152</v>
      </c>
      <c r="B14" s="11" t="s">
        <v>174</v>
      </c>
    </row>
    <row r="15" customFormat="false" ht="15" hidden="false" customHeight="false" outlineLevel="0" collapsed="false">
      <c r="A15" s="10" t="s">
        <v>155</v>
      </c>
      <c r="B15" s="11" t="s">
        <v>175</v>
      </c>
    </row>
    <row r="16" customFormat="false" ht="15" hidden="false" customHeight="false" outlineLevel="0" collapsed="false">
      <c r="A16" s="10" t="s">
        <v>158</v>
      </c>
      <c r="B16" s="11" t="s">
        <v>176</v>
      </c>
    </row>
    <row r="17" customFormat="false" ht="15" hidden="false" customHeight="false" outlineLevel="0" collapsed="false">
      <c r="A17" s="10" t="s">
        <v>167</v>
      </c>
      <c r="B17" s="11" t="s">
        <v>177</v>
      </c>
    </row>
    <row r="18" customFormat="false" ht="15" hidden="false" customHeight="false" outlineLevel="0" collapsed="false">
      <c r="A18" s="10" t="s">
        <v>169</v>
      </c>
      <c r="B18" s="11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31.5" hidden="false" customHeight="true" outlineLevel="0" collapsed="false">
      <c r="A1" s="8" t="s">
        <v>43</v>
      </c>
      <c r="B1" s="8" t="s">
        <v>180</v>
      </c>
      <c r="C1" s="8" t="s">
        <v>181</v>
      </c>
    </row>
    <row r="2" customFormat="false" ht="15" hidden="false" customHeight="false" outlineLevel="0" collapsed="false">
      <c r="A2" s="10" t="s">
        <v>64</v>
      </c>
      <c r="B2" s="11" t="s">
        <v>182</v>
      </c>
      <c r="C2" s="13" t="n">
        <v>46636</v>
      </c>
    </row>
    <row r="3" customFormat="false" ht="15" hidden="false" customHeight="false" outlineLevel="0" collapsed="false">
      <c r="A3" s="10" t="s">
        <v>68</v>
      </c>
      <c r="B3" s="11" t="s">
        <v>183</v>
      </c>
      <c r="C3" s="13" t="n">
        <v>46647</v>
      </c>
    </row>
    <row r="4" customFormat="false" ht="15" hidden="false" customHeight="false" outlineLevel="0" collapsed="false">
      <c r="A4" s="10" t="s">
        <v>71</v>
      </c>
      <c r="B4" s="11" t="s">
        <v>184</v>
      </c>
      <c r="C4" s="13" t="n">
        <v>46658</v>
      </c>
    </row>
    <row r="5" customFormat="false" ht="15" hidden="false" customHeight="false" outlineLevel="0" collapsed="false">
      <c r="A5" s="10" t="s">
        <v>74</v>
      </c>
      <c r="B5" s="11" t="s">
        <v>185</v>
      </c>
      <c r="C5" s="13" t="n">
        <v>46669</v>
      </c>
    </row>
    <row r="6" customFormat="false" ht="15" hidden="false" customHeight="false" outlineLevel="0" collapsed="false">
      <c r="A6" s="10" t="s">
        <v>77</v>
      </c>
      <c r="B6" s="11" t="s">
        <v>186</v>
      </c>
      <c r="C6" s="13" t="n">
        <v>46680</v>
      </c>
    </row>
    <row r="7" customFormat="false" ht="15" hidden="false" customHeight="false" outlineLevel="0" collapsed="false">
      <c r="A7" s="10" t="s">
        <v>80</v>
      </c>
      <c r="B7" s="11" t="s">
        <v>187</v>
      </c>
      <c r="C7" s="13" t="n">
        <v>46691</v>
      </c>
    </row>
    <row r="8" customFormat="false" ht="15" hidden="false" customHeight="false" outlineLevel="0" collapsed="false">
      <c r="A8" s="10" t="s">
        <v>83</v>
      </c>
      <c r="B8" s="11" t="s">
        <v>188</v>
      </c>
      <c r="C8" s="13" t="n">
        <v>46702</v>
      </c>
    </row>
    <row r="9" customFormat="false" ht="15" hidden="false" customHeight="false" outlineLevel="0" collapsed="false">
      <c r="A9" s="10" t="s">
        <v>86</v>
      </c>
      <c r="B9" s="11" t="s">
        <v>189</v>
      </c>
      <c r="C9" s="13" t="n">
        <v>46713</v>
      </c>
    </row>
    <row r="10" customFormat="false" ht="15" hidden="false" customHeight="false" outlineLevel="0" collapsed="false">
      <c r="A10" s="10" t="s">
        <v>89</v>
      </c>
      <c r="B10" s="11" t="s">
        <v>190</v>
      </c>
      <c r="C10" s="13" t="n">
        <v>46724</v>
      </c>
    </row>
    <row r="11" customFormat="false" ht="15" hidden="false" customHeight="false" outlineLevel="0" collapsed="false">
      <c r="A11" s="10" t="s">
        <v>92</v>
      </c>
      <c r="B11" s="11" t="s">
        <v>191</v>
      </c>
      <c r="C11" s="13" t="n">
        <v>46735</v>
      </c>
    </row>
    <row r="12" customFormat="false" ht="15" hidden="false" customHeight="false" outlineLevel="0" collapsed="false">
      <c r="A12" s="10" t="s">
        <v>95</v>
      </c>
      <c r="B12" s="11" t="s">
        <v>192</v>
      </c>
      <c r="C12" s="13" t="n">
        <v>46746</v>
      </c>
    </row>
    <row r="13" customFormat="false" ht="15" hidden="false" customHeight="false" outlineLevel="0" collapsed="false">
      <c r="A13" s="10" t="s">
        <v>98</v>
      </c>
      <c r="B13" s="11" t="s">
        <v>193</v>
      </c>
      <c r="C13" s="13" t="n">
        <v>46757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4" min="3" style="0" width="11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9" min="8" style="0" width="13"/>
    <col collapsed="false" customWidth="true" hidden="false" outlineLevel="0" max="10" min="10" style="0" width="21"/>
    <col collapsed="false" customWidth="true" hidden="false" outlineLevel="0" max="11" min="11" style="0" width="18"/>
    <col collapsed="false" customWidth="true" hidden="false" outlineLevel="0" max="12" min="12" style="0" width="21"/>
    <col collapsed="false" customWidth="true" hidden="false" outlineLevel="0" max="13" min="13" style="0" width="11"/>
    <col collapsed="false" customWidth="true" hidden="false" outlineLevel="0" max="14" min="14" style="0" width="18"/>
    <col collapsed="false" customWidth="true" hidden="false" outlineLevel="0" max="15" min="15" style="0" width="15"/>
    <col collapsed="false" customWidth="true" hidden="false" outlineLevel="0" max="16" min="16" style="0" width="16"/>
    <col collapsed="false" customWidth="true" hidden="false" outlineLevel="0" max="17" min="17" style="0" width="11"/>
    <col collapsed="false" customWidth="true" hidden="false" outlineLevel="0" max="18" min="18" style="0" width="40"/>
    <col collapsed="false" customWidth="true" hidden="false" outlineLevel="0" max="19" min="19" style="0" width="45"/>
    <col collapsed="false" customWidth="true" hidden="false" outlineLevel="0" max="20" min="20" style="0" width="11"/>
    <col collapsed="false" customWidth="true" hidden="false" outlineLevel="0" max="21" min="21" style="0" width="12"/>
  </cols>
  <sheetData>
    <row r="1" customFormat="false" ht="31.5" hidden="false" customHeight="true" outlineLevel="0" collapsed="false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  <c r="H1" s="8" t="s">
        <v>50</v>
      </c>
      <c r="I1" s="8" t="s">
        <v>51</v>
      </c>
      <c r="J1" s="8" t="s">
        <v>52</v>
      </c>
      <c r="K1" s="8" t="s">
        <v>53</v>
      </c>
      <c r="L1" s="8" t="s">
        <v>54</v>
      </c>
      <c r="M1" s="8" t="s">
        <v>55</v>
      </c>
      <c r="N1" s="8" t="s">
        <v>56</v>
      </c>
      <c r="O1" s="8" t="s">
        <v>57</v>
      </c>
      <c r="P1" s="8" t="s">
        <v>58</v>
      </c>
      <c r="Q1" s="8" t="s">
        <v>59</v>
      </c>
      <c r="R1" s="8" t="s">
        <v>60</v>
      </c>
      <c r="S1" s="8" t="s">
        <v>61</v>
      </c>
      <c r="T1" s="8" t="s">
        <v>62</v>
      </c>
      <c r="U1" s="8" t="s">
        <v>63</v>
      </c>
    </row>
    <row r="2" customFormat="false" ht="15" hidden="false" customHeight="false" outlineLevel="0" collapsed="false">
      <c r="A2" s="10" t="s">
        <v>194</v>
      </c>
      <c r="B2" s="11" t="s">
        <v>195</v>
      </c>
      <c r="C2" s="11" t="s">
        <v>110</v>
      </c>
      <c r="D2" s="11" t="s">
        <v>134</v>
      </c>
      <c r="E2" s="11" t="s">
        <v>133</v>
      </c>
      <c r="F2" s="11" t="s">
        <v>165</v>
      </c>
      <c r="G2" s="11" t="s">
        <v>130</v>
      </c>
      <c r="H2" s="11" t="n">
        <v>28900</v>
      </c>
      <c r="I2" s="13" t="n">
        <v>46247</v>
      </c>
      <c r="J2" s="13" t="n">
        <v>46327</v>
      </c>
      <c r="K2" s="13" t="n">
        <v>46357</v>
      </c>
      <c r="L2" s="13" t="n">
        <v>46407</v>
      </c>
      <c r="M2" s="13" t="n">
        <v>46437</v>
      </c>
      <c r="N2" s="13" t="n">
        <v>46447</v>
      </c>
      <c r="O2" s="13" t="n">
        <v>46577</v>
      </c>
      <c r="P2" s="11" t="n">
        <v>130</v>
      </c>
      <c r="Q2" s="13" t="n">
        <v>46591</v>
      </c>
      <c r="R2" s="15" t="s">
        <v>196</v>
      </c>
      <c r="S2" s="11" t="s">
        <v>197</v>
      </c>
      <c r="T2" s="11" t="s">
        <v>175</v>
      </c>
      <c r="U2" s="11" t="s">
        <v>67</v>
      </c>
    </row>
    <row r="3" customFormat="false" ht="15" hidden="false" customHeight="false" outlineLevel="0" collapsed="false">
      <c r="A3" s="10" t="s">
        <v>198</v>
      </c>
      <c r="B3" s="11" t="s">
        <v>199</v>
      </c>
      <c r="C3" s="11" t="s">
        <v>115</v>
      </c>
      <c r="D3" s="11" t="s">
        <v>138</v>
      </c>
      <c r="E3" s="11" t="s">
        <v>137</v>
      </c>
      <c r="F3" s="11" t="s">
        <v>166</v>
      </c>
      <c r="G3" s="11" t="s">
        <v>108</v>
      </c>
      <c r="H3" s="11" t="n">
        <v>32600</v>
      </c>
      <c r="I3" s="13" t="n">
        <v>46282</v>
      </c>
      <c r="J3" s="13" t="n">
        <v>46362</v>
      </c>
      <c r="K3" s="13" t="n">
        <v>46392</v>
      </c>
      <c r="L3" s="13" t="n">
        <v>46442</v>
      </c>
      <c r="M3" s="13" t="n">
        <v>46472</v>
      </c>
      <c r="N3" s="13" t="n">
        <v>46482</v>
      </c>
      <c r="O3" s="13" t="n">
        <v>46612</v>
      </c>
      <c r="P3" s="11" t="n">
        <v>130</v>
      </c>
      <c r="Q3" s="13" t="n">
        <v>46626</v>
      </c>
      <c r="R3" s="15" t="s">
        <v>200</v>
      </c>
      <c r="S3" s="11" t="s">
        <v>201</v>
      </c>
      <c r="T3" s="11" t="s">
        <v>175</v>
      </c>
      <c r="U3" s="11" t="s">
        <v>67</v>
      </c>
    </row>
    <row r="4" customFormat="false" ht="15" hidden="false" customHeight="false" outlineLevel="0" collapsed="false">
      <c r="A4" s="10" t="s">
        <v>202</v>
      </c>
      <c r="B4" s="11" t="s">
        <v>203</v>
      </c>
      <c r="C4" s="11" t="s">
        <v>120</v>
      </c>
      <c r="D4" s="11" t="s">
        <v>142</v>
      </c>
      <c r="E4" s="11" t="s">
        <v>141</v>
      </c>
      <c r="F4" s="11" t="s">
        <v>165</v>
      </c>
      <c r="G4" s="11" t="s">
        <v>108</v>
      </c>
      <c r="H4" s="11" t="n">
        <v>36300</v>
      </c>
      <c r="I4" s="13" t="n">
        <v>46317</v>
      </c>
      <c r="J4" s="13" t="n">
        <v>46397</v>
      </c>
      <c r="K4" s="13" t="n">
        <v>46427</v>
      </c>
      <c r="L4" s="13" t="n">
        <v>46477</v>
      </c>
      <c r="M4" s="13" t="n">
        <v>46507</v>
      </c>
      <c r="N4" s="13" t="n">
        <v>46517</v>
      </c>
      <c r="O4" s="13" t="n">
        <v>46647</v>
      </c>
      <c r="P4" s="11" t="n">
        <v>130</v>
      </c>
      <c r="Q4" s="13" t="n">
        <v>46661</v>
      </c>
      <c r="R4" s="15" t="s">
        <v>204</v>
      </c>
      <c r="S4" s="11" t="s">
        <v>205</v>
      </c>
      <c r="T4" s="11" t="s">
        <v>175</v>
      </c>
      <c r="U4" s="11" t="s">
        <v>67</v>
      </c>
    </row>
    <row r="5" customFormat="false" ht="15" hidden="false" customHeight="false" outlineLevel="0" collapsed="false">
      <c r="A5" s="10" t="s">
        <v>206</v>
      </c>
      <c r="B5" s="11" t="s">
        <v>207</v>
      </c>
      <c r="C5" s="11" t="s">
        <v>104</v>
      </c>
      <c r="D5" s="11" t="s">
        <v>146</v>
      </c>
      <c r="E5" s="11" t="s">
        <v>145</v>
      </c>
      <c r="F5" s="11" t="s">
        <v>163</v>
      </c>
      <c r="G5" s="11" t="s">
        <v>118</v>
      </c>
      <c r="H5" s="11" t="n">
        <v>40000</v>
      </c>
      <c r="I5" s="13" t="n">
        <v>46352</v>
      </c>
      <c r="J5" s="13" t="n">
        <v>46432</v>
      </c>
      <c r="K5" s="13" t="n">
        <v>46462</v>
      </c>
      <c r="L5" s="13" t="n">
        <v>46512</v>
      </c>
      <c r="M5" s="13" t="n">
        <v>46542</v>
      </c>
      <c r="N5" s="13" t="n">
        <v>46552</v>
      </c>
      <c r="O5" s="13" t="n">
        <v>46682</v>
      </c>
      <c r="P5" s="11" t="n">
        <v>130</v>
      </c>
      <c r="Q5" s="13" t="n">
        <v>46696</v>
      </c>
      <c r="R5" s="15" t="s">
        <v>208</v>
      </c>
      <c r="S5" s="11" t="s">
        <v>209</v>
      </c>
      <c r="T5" s="11" t="s">
        <v>175</v>
      </c>
      <c r="U5" s="11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4" min="3" style="0" width="11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9" min="8" style="0" width="13"/>
    <col collapsed="false" customWidth="true" hidden="false" outlineLevel="0" max="10" min="10" style="0" width="21"/>
    <col collapsed="false" customWidth="true" hidden="false" outlineLevel="0" max="11" min="11" style="0" width="18"/>
    <col collapsed="false" customWidth="true" hidden="false" outlineLevel="0" max="12" min="12" style="0" width="21"/>
    <col collapsed="false" customWidth="true" hidden="false" outlineLevel="0" max="13" min="13" style="0" width="11"/>
    <col collapsed="false" customWidth="true" hidden="false" outlineLevel="0" max="14" min="14" style="0" width="18"/>
    <col collapsed="false" customWidth="true" hidden="false" outlineLevel="0" max="15" min="15" style="0" width="15"/>
    <col collapsed="false" customWidth="true" hidden="false" outlineLevel="0" max="16" min="16" style="0" width="16"/>
    <col collapsed="false" customWidth="true" hidden="false" outlineLevel="0" max="17" min="17" style="0" width="11"/>
    <col collapsed="false" customWidth="true" hidden="false" outlineLevel="0" max="18" min="18" style="0" width="40"/>
    <col collapsed="false" customWidth="true" hidden="false" outlineLevel="0" max="19" min="19" style="0" width="45"/>
    <col collapsed="false" customWidth="true" hidden="false" outlineLevel="0" max="20" min="20" style="0" width="11"/>
    <col collapsed="false" customWidth="true" hidden="false" outlineLevel="0" max="21" min="21" style="0" width="12"/>
  </cols>
  <sheetData>
    <row r="1" customFormat="false" ht="31.5" hidden="false" customHeight="true" outlineLevel="0" collapsed="false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  <c r="H1" s="8" t="s">
        <v>50</v>
      </c>
      <c r="I1" s="8" t="s">
        <v>51</v>
      </c>
      <c r="J1" s="8" t="s">
        <v>52</v>
      </c>
      <c r="K1" s="8" t="s">
        <v>53</v>
      </c>
      <c r="L1" s="8" t="s">
        <v>54</v>
      </c>
      <c r="M1" s="8" t="s">
        <v>55</v>
      </c>
      <c r="N1" s="8" t="s">
        <v>56</v>
      </c>
      <c r="O1" s="8" t="s">
        <v>57</v>
      </c>
      <c r="P1" s="8" t="s">
        <v>58</v>
      </c>
      <c r="Q1" s="8" t="s">
        <v>59</v>
      </c>
      <c r="R1" s="8" t="s">
        <v>60</v>
      </c>
      <c r="S1" s="8" t="s">
        <v>61</v>
      </c>
      <c r="T1" s="8" t="s">
        <v>62</v>
      </c>
      <c r="U1" s="8" t="s">
        <v>63</v>
      </c>
    </row>
    <row r="2" customFormat="false" ht="15" hidden="false" customHeight="false" outlineLevel="0" collapsed="false">
      <c r="A2" s="10" t="s">
        <v>210</v>
      </c>
      <c r="B2" s="11" t="s">
        <v>211</v>
      </c>
      <c r="C2" s="11" t="s">
        <v>110</v>
      </c>
      <c r="D2" s="11" t="s">
        <v>107</v>
      </c>
      <c r="E2" s="11" t="s">
        <v>149</v>
      </c>
      <c r="F2" s="11" t="s">
        <v>165</v>
      </c>
      <c r="G2" s="11" t="s">
        <v>123</v>
      </c>
      <c r="H2" s="11" t="n">
        <v>43700</v>
      </c>
      <c r="I2" s="13" t="n">
        <v>46401</v>
      </c>
      <c r="J2" s="13" t="n">
        <v>46481</v>
      </c>
      <c r="K2" s="13" t="n">
        <v>46511</v>
      </c>
      <c r="L2" s="13" t="n">
        <v>46561</v>
      </c>
      <c r="M2" s="13" t="n">
        <v>46591</v>
      </c>
      <c r="N2" s="13" t="n">
        <v>46601</v>
      </c>
      <c r="O2" s="13" t="n">
        <v>46741</v>
      </c>
      <c r="P2" s="11" t="n">
        <v>140</v>
      </c>
      <c r="Q2" s="13" t="n">
        <v>46755</v>
      </c>
      <c r="R2" s="15" t="s">
        <v>212</v>
      </c>
      <c r="S2" s="11" t="s">
        <v>213</v>
      </c>
      <c r="T2" s="11" t="s">
        <v>176</v>
      </c>
      <c r="U2" s="11" t="s">
        <v>214</v>
      </c>
    </row>
    <row r="3" customFormat="false" ht="15" hidden="false" customHeight="false" outlineLevel="0" collapsed="false">
      <c r="A3" s="10" t="s">
        <v>215</v>
      </c>
      <c r="B3" s="11" t="s">
        <v>216</v>
      </c>
      <c r="C3" s="11" t="s">
        <v>115</v>
      </c>
      <c r="D3" s="11" t="s">
        <v>107</v>
      </c>
      <c r="E3" s="11" t="s">
        <v>106</v>
      </c>
      <c r="F3" s="11" t="s">
        <v>166</v>
      </c>
      <c r="G3" s="11" t="s">
        <v>108</v>
      </c>
      <c r="H3" s="11" t="n">
        <v>47400</v>
      </c>
      <c r="I3" s="13" t="n">
        <v>46431</v>
      </c>
      <c r="J3" s="13" t="n">
        <v>46511</v>
      </c>
      <c r="K3" s="13" t="n">
        <v>46541</v>
      </c>
      <c r="L3" s="13" t="n">
        <v>46591</v>
      </c>
      <c r="M3" s="13" t="n">
        <v>46621</v>
      </c>
      <c r="N3" s="13" t="n">
        <v>46631</v>
      </c>
      <c r="O3" s="13" t="n">
        <v>46771</v>
      </c>
      <c r="P3" s="11" t="n">
        <v>140</v>
      </c>
      <c r="Q3" s="13" t="n">
        <v>46785</v>
      </c>
      <c r="R3" s="15" t="s">
        <v>217</v>
      </c>
      <c r="S3" s="11" t="s">
        <v>218</v>
      </c>
      <c r="T3" s="11" t="s">
        <v>176</v>
      </c>
      <c r="U3" s="11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4" min="3" style="0" width="11"/>
    <col collapsed="false" customWidth="true" hidden="false" outlineLevel="0" max="5" min="5" style="0" width="20"/>
    <col collapsed="false" customWidth="true" hidden="false" outlineLevel="0" max="9" min="6" style="0" width="11"/>
    <col collapsed="false" customWidth="true" hidden="false" outlineLevel="0" max="10" min="10" style="0" width="18"/>
  </cols>
  <sheetData>
    <row r="1" customFormat="false" ht="31.5" hidden="false" customHeight="true" outlineLevel="0" collapsed="false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219</v>
      </c>
      <c r="G1" s="8" t="s">
        <v>220</v>
      </c>
      <c r="H1" s="8" t="s">
        <v>221</v>
      </c>
      <c r="I1" s="8" t="s">
        <v>222</v>
      </c>
      <c r="J1" s="8" t="s">
        <v>223</v>
      </c>
    </row>
    <row r="2" customFormat="false" ht="15" hidden="false" customHeight="false" outlineLevel="0" collapsed="false">
      <c r="A2" s="10" t="s">
        <v>68</v>
      </c>
      <c r="B2" s="11" t="s">
        <v>109</v>
      </c>
      <c r="C2" s="11" t="s">
        <v>110</v>
      </c>
      <c r="D2" s="11" t="s">
        <v>107</v>
      </c>
      <c r="E2" s="11" t="s">
        <v>112</v>
      </c>
      <c r="F2" s="11" t="s">
        <v>55</v>
      </c>
      <c r="G2" s="10" t="s">
        <v>224</v>
      </c>
      <c r="H2" s="10" t="s">
        <v>225</v>
      </c>
      <c r="I2" s="11" t="s">
        <v>226</v>
      </c>
      <c r="J2" s="16" t="n">
        <v>46793.3854166667</v>
      </c>
    </row>
    <row r="3" customFormat="false" ht="15" hidden="false" customHeight="false" outlineLevel="0" collapsed="false">
      <c r="A3" s="10" t="s">
        <v>71</v>
      </c>
      <c r="B3" s="11" t="s">
        <v>114</v>
      </c>
      <c r="C3" s="11" t="s">
        <v>115</v>
      </c>
      <c r="D3" s="11" t="s">
        <v>107</v>
      </c>
      <c r="E3" s="11" t="s">
        <v>117</v>
      </c>
      <c r="F3" s="11" t="s">
        <v>55</v>
      </c>
      <c r="G3" s="10" t="s">
        <v>224</v>
      </c>
      <c r="H3" s="10" t="s">
        <v>225</v>
      </c>
      <c r="I3" s="11" t="s">
        <v>226</v>
      </c>
      <c r="J3" s="16" t="n">
        <v>46793.4270833333</v>
      </c>
    </row>
    <row r="4" customFormat="false" ht="15" hidden="false" customHeight="false" outlineLevel="0" collapsed="false">
      <c r="A4" s="10" t="s">
        <v>74</v>
      </c>
      <c r="B4" s="11" t="s">
        <v>119</v>
      </c>
      <c r="C4" s="11" t="s">
        <v>120</v>
      </c>
      <c r="D4" s="11" t="s">
        <v>107</v>
      </c>
      <c r="E4" s="11" t="s">
        <v>122</v>
      </c>
      <c r="F4" s="11" t="s">
        <v>55</v>
      </c>
      <c r="G4" s="10" t="s">
        <v>224</v>
      </c>
      <c r="H4" s="10" t="s">
        <v>225</v>
      </c>
      <c r="I4" s="11" t="s">
        <v>226</v>
      </c>
      <c r="J4" s="16" t="n">
        <v>46793.46875</v>
      </c>
    </row>
    <row r="5" customFormat="false" ht="15" hidden="false" customHeight="false" outlineLevel="0" collapsed="false">
      <c r="A5" s="10" t="s">
        <v>77</v>
      </c>
      <c r="B5" s="11" t="s">
        <v>124</v>
      </c>
      <c r="C5" s="11" t="s">
        <v>104</v>
      </c>
      <c r="D5" s="11" t="s">
        <v>107</v>
      </c>
      <c r="E5" s="11" t="s">
        <v>126</v>
      </c>
      <c r="F5" s="11" t="s">
        <v>55</v>
      </c>
      <c r="G5" s="10" t="s">
        <v>224</v>
      </c>
      <c r="H5" s="10" t="s">
        <v>225</v>
      </c>
      <c r="I5" s="11" t="s">
        <v>226</v>
      </c>
      <c r="J5" s="16" t="n">
        <v>46793.5104166667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2026-10-10T01:41:58Z</dcterms:created>
  <dc:creator>openpyxl</dc:creator>
  <dc:description/>
  <dc:language>en-US</dc:language>
  <cp:lastModifiedBy/>
  <dcterms:modified xsi:type="dcterms:W3CDTF">2026-10-10T01:41:58Z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